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  <sheet name="AliExpress" sheetId="2" state="visible" r:id="rId4"/>
    <sheet name="LCSC" sheetId="3" state="visible" r:id="rId5"/>
    <sheet name="Mouser" sheetId="4" state="visible" r:id="rId6"/>
  </sheets>
  <definedNames>
    <definedName function="false" hidden="true" localSheetId="2" name="_xlnm._FilterDatabase" vbProcedure="false">LCSC!$A$1:$F$49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<sst xmlns="http://schemas.openxmlformats.org/spreadsheetml/2006/main" count="144" uniqueCount="122">
  <si>
    <t xml:space="preserve">Date :</t>
  </si>
  <si>
    <t xml:space="preserve">2026/00/00</t>
  </si>
  <si>
    <t xml:space="preserve">Pôle :</t>
  </si>
  <si>
    <t xml:space="preserve">42 Chips</t>
  </si>
  <si>
    <t xml:space="preserve">Responsable :</t>
  </si>
  <si>
    <t xml:space="preserve">Robin K.</t>
  </si>
  <si>
    <t xml:space="preserve">DEMANDE DE DEPENSE</t>
  </si>
  <si>
    <t xml:space="preserve">Fournisseur</t>
  </si>
  <si>
    <t xml:space="preserve">TTC</t>
  </si>
  <si>
    <t xml:space="preserve">Commentaires</t>
  </si>
  <si>
    <t xml:space="preserve">Validation 42</t>
  </si>
  <si>
    <t xml:space="preserve">AliExpress</t>
  </si>
  <si>
    <t xml:space="preserve">Equipements Labelec</t>
  </si>
  <si>
    <t xml:space="preserve">LCSC</t>
  </si>
  <si>
    <t xml:space="preserve">Mouser</t>
  </si>
  <si>
    <t xml:space="preserve">Commentaire</t>
  </si>
  <si>
    <t xml:space="preserve">RefFournisseur</t>
  </si>
  <si>
    <t xml:space="preserve">PrixUnitaire (TTC)</t>
  </si>
  <si>
    <t xml:space="preserve">Quantitée</t>
  </si>
  <si>
    <t xml:space="preserve">PrixTotal (TTC)</t>
  </si>
  <si>
    <t xml:space="preserve">10Pcs SMA Female Jack Male Plug Adapter</t>
  </si>
  <si>
    <t xml:space="preserve">No 7 X 10PCS</t>
  </si>
  <si>
    <t xml:space="preserve">2.4G Wifi Antenna 3dBi Foldable</t>
  </si>
  <si>
    <t xml:space="preserve">2.4g antenna x1</t>
  </si>
  <si>
    <t xml:space="preserve">3.2 inch TFT LCD display No Touch Module ILI9341</t>
  </si>
  <si>
    <t xml:space="preserve">TN 3.2 No Touch</t>
  </si>
  <si>
    <t xml:space="preserve">Replacement Hall effect Joystick 3D Analog Sensor ThumbStick</t>
  </si>
  <si>
    <t xml:space="preserve">For PS4 2PCS</t>
  </si>
  <si>
    <t xml:space="preserve">10Pcs MTS-103 DPDT ON-OFF-ON Toggle Switch</t>
  </si>
  <si>
    <t xml:space="preserve">MTS103 Dark Blue</t>
  </si>
  <si>
    <t xml:space="preserve">Livraison et expédition</t>
  </si>
  <si>
    <t xml:space="preserve">Total (TTC)</t>
  </si>
  <si>
    <t xml:space="preserve">AVR 8 Bit 20MHz 23 TQFP-32(7x7) Microcontrollers RoHS</t>
  </si>
  <si>
    <t xml:space="preserve">C14877</t>
  </si>
  <si>
    <t xml:space="preserve">YXC Crystal Oscillators X322516MLB4SI</t>
  </si>
  <si>
    <t xml:space="preserve">C13738</t>
  </si>
  <si>
    <t xml:space="preserve">NORDIC NRF24L01P-R (Transceiver)</t>
  </si>
  <si>
    <t xml:space="preserve">C8791</t>
  </si>
  <si>
    <t xml:space="preserve">SKYWORKS RFX2401C (RF Front End)</t>
  </si>
  <si>
    <t xml:space="preserve">C19213</t>
  </si>
  <si>
    <t xml:space="preserve">UMW AMS1117-3.3 (LDO)</t>
  </si>
  <si>
    <t xml:space="preserve">C347222</t>
  </si>
  <si>
    <t xml:space="preserve">UMW AMS1117-5.0 (LDO)</t>
  </si>
  <si>
    <t xml:space="preserve">C347223</t>
  </si>
  <si>
    <t xml:space="preserve">hanxia HX-B3U-1000P-1.6N (Tactile Switch)</t>
  </si>
  <si>
    <t xml:space="preserve">C49234121</t>
  </si>
  <si>
    <t xml:space="preserve">Yuandi TS-1094TS-B3D2-T-Y (Tactile Switch)</t>
  </si>
  <si>
    <t xml:space="preserve">C19077684</t>
  </si>
  <si>
    <t xml:space="preserve">Khon SC203AD1 (Switch Cap)</t>
  </si>
  <si>
    <t xml:space="preserve">C42435492</t>
  </si>
  <si>
    <t xml:space="preserve">SHOU HAN MST-12D18G4 SPDT Slide Switch</t>
  </si>
  <si>
    <t xml:space="preserve">C49023767</t>
  </si>
  <si>
    <t xml:space="preserve">YONGYUTAI 1N4007 (Diode)</t>
  </si>
  <si>
    <t xml:space="preserve">C2892681</t>
  </si>
  <si>
    <t xml:space="preserve">ROQANG RVT1V101M0605 (Capacitor 100uF)</t>
  </si>
  <si>
    <t xml:space="preserve">C3151830</t>
  </si>
  <si>
    <t xml:space="preserve">ROQANG RVT1H220M0605 (Capacitor 22uF)</t>
  </si>
  <si>
    <t xml:space="preserve">C72505</t>
  </si>
  <si>
    <t xml:space="preserve">Samsung Electro-Mechanics CL31B106KBHNNNE (Capacitor 10 uF)</t>
  </si>
  <si>
    <t xml:space="preserve">C89632</t>
  </si>
  <si>
    <t xml:space="preserve">muRata GRM21BZ71H475KE15L (Capacitor 4.7 uF)</t>
  </si>
  <si>
    <t xml:space="preserve">C437557</t>
  </si>
  <si>
    <t xml:space="preserve">Samsung Electro-Mechanics CL10A105KP8NNNC (Capacitor 1uF)</t>
  </si>
  <si>
    <t xml:space="preserve">C26413</t>
  </si>
  <si>
    <t xml:space="preserve">YAGEO CC0603KRX7R9BB104 (Capacitor 100nF)</t>
  </si>
  <si>
    <t xml:space="preserve">C14663</t>
  </si>
  <si>
    <t xml:space="preserve">KEMET C0603C333K4RAC7867 (Capacitor 33nF)</t>
  </si>
  <si>
    <t xml:space="preserve">C599735</t>
  </si>
  <si>
    <t xml:space="preserve">Samsung Electro-Mechanics CL10B103KB8NNNC (Capacitor 10 nF)</t>
  </si>
  <si>
    <t xml:space="preserve">C1589</t>
  </si>
  <si>
    <t xml:space="preserve">Samsung Electro-Mechanics CL10B472KB8NNNC (Capacitor 4.7nF)</t>
  </si>
  <si>
    <t xml:space="preserve">C1621</t>
  </si>
  <si>
    <t xml:space="preserve">Samsung Electro-Mechanics CL10C222JB8NNNC (Capacitor 2.2nF)</t>
  </si>
  <si>
    <t xml:space="preserve">C33353</t>
  </si>
  <si>
    <t xml:space="preserve">YAGEO CC0603KRX7R9BB221 (Capacitor 220pF)</t>
  </si>
  <si>
    <t xml:space="preserve">C107081</t>
  </si>
  <si>
    <t xml:space="preserve">YAGEO CC0603JRNPO9BN120 (Capacitor 12pF)</t>
  </si>
  <si>
    <t xml:space="preserve">C107034</t>
  </si>
  <si>
    <t xml:space="preserve">CCTC TCC0603COG1R5C500CT (Capacitor 1.5pF)</t>
  </si>
  <si>
    <t xml:space="preserve">C376772</t>
  </si>
  <si>
    <t xml:space="preserve">FOJAN FCC0603N1R0C500CT (1pF)</t>
  </si>
  <si>
    <t xml:space="preserve">C5137611</t>
  </si>
  <si>
    <t xml:space="preserve">CCTC TCC0603COG0R3B500CT (Capacitor 0.3pF)</t>
  </si>
  <si>
    <t xml:space="preserve">C5375816</t>
  </si>
  <si>
    <t xml:space="preserve">YAGEO PA0603FRP070R001L (Resistor 1MΩ)</t>
  </si>
  <si>
    <t xml:space="preserve">C6949223</t>
  </si>
  <si>
    <t xml:space="preserve">FOJAN FRC0603J223 TS (Resistor 22kΩ)</t>
  </si>
  <si>
    <t xml:space="preserve">C2907128</t>
  </si>
  <si>
    <t xml:space="preserve">FOJAN FRC0603J203 TS (Resistor 20kΩ)</t>
  </si>
  <si>
    <t xml:space="preserve">C2907124</t>
  </si>
  <si>
    <t xml:space="preserve">FOJAN FRC0603F1002TS (Resistor 10kΩ)</t>
  </si>
  <si>
    <t xml:space="preserve">C2906982</t>
  </si>
  <si>
    <t xml:space="preserve">FOJAN FRC0603F2001TS (Resistor 2kΩ)</t>
  </si>
  <si>
    <t xml:space="preserve">C2907022</t>
  </si>
  <si>
    <t xml:space="preserve">FOJAN FRC0603J102 TS (Resistor 1kΩ)</t>
  </si>
  <si>
    <t xml:space="preserve">C2907113</t>
  </si>
  <si>
    <t xml:space="preserve">BOURNS PTA4543-2015DPB103 (Slide Potentiometer)</t>
  </si>
  <si>
    <t xml:space="preserve">C17444183</t>
  </si>
  <si>
    <t xml:space="preserve">Sunltech SCC1608C8N2JSP (Inductor 8.2nH)</t>
  </si>
  <si>
    <t xml:space="preserve">C412032</t>
  </si>
  <si>
    <t xml:space="preserve">HYHONGYEX HBLS1608-3N9S (Inductor 3.9nH)</t>
  </si>
  <si>
    <t xml:space="preserve">C964023</t>
  </si>
  <si>
    <t xml:space="preserve">Chilisin BSCH001608082N7S00 (Inductor 2.7nH)</t>
  </si>
  <si>
    <t xml:space="preserve">C5252358</t>
  </si>
  <si>
    <t xml:space="preserve">FH VHF160808H2N4ST (Inductor 2.4nH)</t>
  </si>
  <si>
    <t xml:space="preserve">C395082</t>
  </si>
  <si>
    <t xml:space="preserve">muRata LQW18AN2N4C80D (Inductor 2.4nH)</t>
  </si>
  <si>
    <t xml:space="preserve">C173290</t>
  </si>
  <si>
    <t xml:space="preserve">YONGYUTAI YLED0603R (LED Red)</t>
  </si>
  <si>
    <t xml:space="preserve">C19171390</t>
  </si>
  <si>
    <t xml:space="preserve">YONGYUTAI YLED0603G (LED Green)</t>
  </si>
  <si>
    <t xml:space="preserve">C19273151</t>
  </si>
  <si>
    <t xml:space="preserve">MICROCHIP ATTINY1614-SSN</t>
  </si>
  <si>
    <t xml:space="preserve">C614832</t>
  </si>
  <si>
    <t xml:space="preserve">TI SN74LVC125ADR</t>
  </si>
  <si>
    <t xml:space="preserve">C7661</t>
  </si>
  <si>
    <t xml:space="preserve">Bosch BME280</t>
  </si>
  <si>
    <t xml:space="preserve">C92489</t>
  </si>
  <si>
    <t xml:space="preserve">ADI AD8552ARZ-REEL7</t>
  </si>
  <si>
    <t xml:space="preserve">C9642</t>
  </si>
  <si>
    <t xml:space="preserve">MICS-6814</t>
  </si>
  <si>
    <t xml:space="preserve">523-MICS-6814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</si>
</sst>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\ [$€-2];\-#,##0.00\ [$€-2]"/>
  </numFmts>
  <fonts count="15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36"/>
      <name val="Calibri"/>
      <family val="0"/>
      <charset val="1"/>
    </font>
    <font>
      <sz val="12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2"/>
      <color rgb="FF0000FF"/>
      <name val="Arial"/>
      <family val="0"/>
      <charset val="1"/>
    </font>
    <font>
      <u val="single"/>
      <sz val="12"/>
      <name val="Arial"/>
      <family val="0"/>
      <charset val="1"/>
    </font>
    <font>
      <u val="single"/>
      <sz val="11"/>
      <color rgb="FF0000FF"/>
      <name val="Arial"/>
      <family val="0"/>
      <charset val="1"/>
    </font>
    <font>
      <u val="singl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7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0000"/>
      </font>
    </dxf>
    <dxf>
      <font>
        <color rgb="FFFF0000"/>
      </font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color rgb="FFFF0000"/>
      </font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285840</xdr:colOff>
      <xdr:row>1</xdr:row>
      <xdr:rowOff>47520</xdr:rowOff>
    </xdr:from>
    <xdr:to>
      <xdr:col>1</xdr:col>
      <xdr:colOff>1241280</xdr:colOff>
      <xdr:row>8</xdr:row>
      <xdr:rowOff>47160</xdr:rowOff>
    </xdr:to>
    <xdr:pic>
      <xdr:nvPicPr>
        <xdr:cNvPr id="0" name="Imageimage1.png" descr="Imageimage1.png"/>
        <xdr:cNvPicPr/>
      </xdr:nvPicPr>
      <xdr:blipFill>
        <a:blip r:embed="rId1"/>
        <a:stretch/>
      </xdr:blipFill>
      <xdr:spPr>
        <a:xfrm>
          <a:off x="285840" y="218880"/>
          <a:ext cx="1680120" cy="1199880"/>
        </a:xfrm>
        <a:prstGeom prst="rect">
          <a:avLst/>
        </a:prstGeom>
        <a:noFill/>
        <a:ln w="1270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fr.aliexpress.com/?spm=a2g0o.home.logo.1.864f7065nsY5sf" TargetMode="External"/><Relationship Id="rId2" Type="http://schemas.openxmlformats.org/officeDocument/2006/relationships/hyperlink" Target="https://fr.aliexpress.com/item/1005003176364619.html?spm=a2g0o.productlist.main.5.3a61c1b6FDwY9b&amp;algo_pvid=67a3683f-326e-4ab8-adf8-e4f890ed499d&amp;algo_exp_id=67a3683f-326e-4ab8-adf8-e4f890ed499d-4&amp;pdp_ext_f=%7B%22order%22:%22671%22,%22spu_best_type%22:%22se" TargetMode="External"/><Relationship Id="rId3" Type="http://schemas.openxmlformats.org/officeDocument/2006/relationships/hyperlink" Target="https://fr.aliexpress.com/?spm=a2g0o.home.logo.1.864f7065nsY5sf" TargetMode="External"/><Relationship Id="rId4" Type="http://schemas.openxmlformats.org/officeDocument/2006/relationships/hyperlink" Target="https://fr.aliexpress.com/item/1005006814234708.html?spm=a2g0o.detail.pcDetailTopMoreOtherSeller.5.384fe5rge5rgQn&amp;gps-id=pcDetailTopMoreOtherSeller&amp;scm=1007.40050.354490.0&amp;scm_id=1007.40050.354490.0&amp;scm-url=1007.40050.354490.0&amp;pvid=5adfec3e-cbf0-42de-b7f7" TargetMode="External"/><Relationship Id="rId5" Type="http://schemas.openxmlformats.org/officeDocument/2006/relationships/hyperlink" Target="https://fr.aliexpress.com/?spm=a2g0o.home.logo.1.864f7065nsY5sf" TargetMode="External"/><Relationship Id="rId6" Type="http://schemas.openxmlformats.org/officeDocument/2006/relationships/hyperlink" Target="https://fr.aliexpress.com/item/1005007333267197.html?spm=a2g0o.productlist.main.33.2d20504csTVKGL&amp;algo_pvid=49277cee-cc16-4025-9f07-1f0b1d1c6933&amp;algo_exp_id=49277cee-cc16-4025-9f07-1f0b1d1c6933-32&amp;pdp_ext_f=%7B%22order%22:%2217%22,%22eval%22:%221%22,%22fr" TargetMode="External"/><Relationship Id="rId7" Type="http://schemas.openxmlformats.org/officeDocument/2006/relationships/hyperlink" Target="https://fr.aliexpress.com/?spm=a2g0o.home.logo.1.864f7065nsY5sf" TargetMode="External"/><Relationship Id="rId8" Type="http://schemas.openxmlformats.org/officeDocument/2006/relationships/hyperlink" Target="https://fr.aliexpress.com/item/1005008600410715.html?spm=a2g0o.productlist.main.14.e4553a79seQWCn&amp;algo_pvid=0fff7174-f197-4145-b13f-47eb52dd528e&amp;algo_exp_id=0fff7174-f197-4145-b13f-47eb52dd528e-13&amp;pdp_ext_f=%7B%22order%22:%2211182%22,%22eval%22:%221%22,%2" TargetMode="External"/><Relationship Id="rId9" Type="http://schemas.openxmlformats.org/officeDocument/2006/relationships/hyperlink" Target="https://fr.aliexpress.com/?spm=a2g0o.home.logo.1.864f7065nsY5sf" TargetMode="External"/><Relationship Id="rId10" Type="http://schemas.openxmlformats.org/officeDocument/2006/relationships/hyperlink" Target="https://fr.aliexpress.com/item/1005008776985434.html?spm=a2g0o.productlist.main.41.540d1e74NA5uyj&amp;algo_pvid=2bf75a2f-333f-4444-a168-5d377d50d091&amp;algo_exp_id=2bf75a2f-333f-4444-a168-5d377d50d091-38&amp;pdp_ext_f=%7B%22order%22:%22244%22,%22spu_best_type%22:%2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lcsc.com/" TargetMode="External"/><Relationship Id="rId2" Type="http://schemas.openxmlformats.org/officeDocument/2006/relationships/hyperlink" Target="https://www.lcsc.com/product-detail/C14877.html?s_z=n_ATmega328P" TargetMode="External"/><Relationship Id="rId3" Type="http://schemas.openxmlformats.org/officeDocument/2006/relationships/hyperlink" Target="https://www.lcsc.com/" TargetMode="External"/><Relationship Id="rId4" Type="http://schemas.openxmlformats.org/officeDocument/2006/relationships/hyperlink" Target="https://www.lcsc.com/product-detail/C13738.html?s_z=n_crystal%252016mhz" TargetMode="External"/><Relationship Id="rId5" Type="http://schemas.openxmlformats.org/officeDocument/2006/relationships/hyperlink" Target="https://www.lcsc.com/" TargetMode="External"/><Relationship Id="rId6" Type="http://schemas.openxmlformats.org/officeDocument/2006/relationships/hyperlink" Target="https://www.lcsc.com/product-detail/C8791.html?s_z=n_nRF24L01" TargetMode="External"/><Relationship Id="rId7" Type="http://schemas.openxmlformats.org/officeDocument/2006/relationships/hyperlink" Target="https://www.lcsc.com/" TargetMode="External"/><Relationship Id="rId8" Type="http://schemas.openxmlformats.org/officeDocument/2006/relationships/hyperlink" Target="https://www.lcsc.com/product-detail/C19213.html?s_z=n_RFX2401C" TargetMode="External"/><Relationship Id="rId9" Type="http://schemas.openxmlformats.org/officeDocument/2006/relationships/hyperlink" Target="https://www.lcsc.com/" TargetMode="External"/><Relationship Id="rId10" Type="http://schemas.openxmlformats.org/officeDocument/2006/relationships/hyperlink" Target="https://www.lcsc.com/product-detail/C347222.html?s_z=n_ams1117" TargetMode="External"/><Relationship Id="rId11" Type="http://schemas.openxmlformats.org/officeDocument/2006/relationships/hyperlink" Target="https://www.lcsc.com/" TargetMode="External"/><Relationship Id="rId12" Type="http://schemas.openxmlformats.org/officeDocument/2006/relationships/hyperlink" Target="https://www.lcsc.com/product-detail/C347223.html?s_z=n_ams1117" TargetMode="External"/><Relationship Id="rId13" Type="http://schemas.openxmlformats.org/officeDocument/2006/relationships/hyperlink" Target="https://www.lcsc.com/" TargetMode="External"/><Relationship Id="rId14" Type="http://schemas.openxmlformats.org/officeDocument/2006/relationships/hyperlink" Target="https://www.lcsc.com/product-detail/C49234121.html?s_z=n_b3u1000p" TargetMode="External"/><Relationship Id="rId15" Type="http://schemas.openxmlformats.org/officeDocument/2006/relationships/hyperlink" Target="https://www.lcsc.com/" TargetMode="External"/><Relationship Id="rId16" Type="http://schemas.openxmlformats.org/officeDocument/2006/relationships/hyperlink" Target="https://www.lcsc.com/product-detail/C19077684.html?s_z=n_switch%2520push%252012mm" TargetMode="External"/><Relationship Id="rId17" Type="http://schemas.openxmlformats.org/officeDocument/2006/relationships/hyperlink" Target="https://www.lcsc.com/" TargetMode="External"/><Relationship Id="rId18" Type="http://schemas.openxmlformats.org/officeDocument/2006/relationships/hyperlink" Target="https://www.lcsc.com/product-detail/C42435492.html?s_z=s_Switches%257CAccessories" TargetMode="External"/><Relationship Id="rId19" Type="http://schemas.openxmlformats.org/officeDocument/2006/relationships/hyperlink" Target="https://www.lcsc.com/" TargetMode="External"/><Relationship Id="rId20" Type="http://schemas.openxmlformats.org/officeDocument/2006/relationships/hyperlink" Target="https://www.lcsc.com/product-detail/C49023767.html?s_z=n_spdt" TargetMode="External"/><Relationship Id="rId21" Type="http://schemas.openxmlformats.org/officeDocument/2006/relationships/hyperlink" Target="https://www.lcsc.com/" TargetMode="External"/><Relationship Id="rId22" Type="http://schemas.openxmlformats.org/officeDocument/2006/relationships/hyperlink" Target="https://www.lcsc.com/product-detail/C2892681.html?s_z=n_1n4007%2520sod123" TargetMode="External"/><Relationship Id="rId23" Type="http://schemas.openxmlformats.org/officeDocument/2006/relationships/hyperlink" Target="https://www.lcsc.com/" TargetMode="External"/><Relationship Id="rId24" Type="http://schemas.openxmlformats.org/officeDocument/2006/relationships/hyperlink" Target="https://www.lcsc.com/product-detail/C3151830.html?s_z=s_Passives%257CCapacitors%257CAluminum%2520Electrolytic%2520Capacitors" TargetMode="External"/><Relationship Id="rId25" Type="http://schemas.openxmlformats.org/officeDocument/2006/relationships/hyperlink" Target="https://www.lcsc.com/" TargetMode="External"/><Relationship Id="rId26" Type="http://schemas.openxmlformats.org/officeDocument/2006/relationships/hyperlink" Target="https://www.lcsc.com/product-detail/C72505.html?s_z=s_Passives%257CCapacitors%257CAluminum%2520Electrolytic%2520Capacitors" TargetMode="External"/><Relationship Id="rId27" Type="http://schemas.openxmlformats.org/officeDocument/2006/relationships/hyperlink" Target="https://www.lcsc.com/" TargetMode="External"/><Relationship Id="rId28" Type="http://schemas.openxmlformats.org/officeDocument/2006/relationships/hyperlink" Target="https://www.lcsc.com/product-detail/C89632.html" TargetMode="External"/><Relationship Id="rId29" Type="http://schemas.openxmlformats.org/officeDocument/2006/relationships/hyperlink" Target="https://www.lcsc.com/" TargetMode="External"/><Relationship Id="rId30" Type="http://schemas.openxmlformats.org/officeDocument/2006/relationships/hyperlink" Target="https://www.lcsc.com/product-detail/C437557.html" TargetMode="External"/><Relationship Id="rId31" Type="http://schemas.openxmlformats.org/officeDocument/2006/relationships/hyperlink" Target="https://www.lcsc.com/" TargetMode="External"/><Relationship Id="rId32" Type="http://schemas.openxmlformats.org/officeDocument/2006/relationships/hyperlink" Target="https://www.lcsc.com/product-detail/C26413.html?s_z=n_capacitor%25201uf%25200603" TargetMode="External"/><Relationship Id="rId33" Type="http://schemas.openxmlformats.org/officeDocument/2006/relationships/hyperlink" Target="https://www.lcsc.com/" TargetMode="External"/><Relationship Id="rId34" Type="http://schemas.openxmlformats.org/officeDocument/2006/relationships/hyperlink" Target="https://www.lcsc.com/product-detail/C14663.html?s_z=n_capacitor%25200603" TargetMode="External"/><Relationship Id="rId35" Type="http://schemas.openxmlformats.org/officeDocument/2006/relationships/hyperlink" Target="https://www.lcsc.com/" TargetMode="External"/><Relationship Id="rId36" Type="http://schemas.openxmlformats.org/officeDocument/2006/relationships/hyperlink" Target="https://www.lcsc.com/product-detail/C599735.html?s_z=n_capacitor%252033nf%25200603" TargetMode="External"/><Relationship Id="rId37" Type="http://schemas.openxmlformats.org/officeDocument/2006/relationships/hyperlink" Target="https://www.lcsc.com/" TargetMode="External"/><Relationship Id="rId38" Type="http://schemas.openxmlformats.org/officeDocument/2006/relationships/hyperlink" Target="https://www.lcsc.com/product-detail/C1589.html?s_z=n_capacitor%252010nf%25200603" TargetMode="External"/><Relationship Id="rId39" Type="http://schemas.openxmlformats.org/officeDocument/2006/relationships/hyperlink" Target="https://www.lcsc.com/" TargetMode="External"/><Relationship Id="rId40" Type="http://schemas.openxmlformats.org/officeDocument/2006/relationships/hyperlink" Target="https://www.lcsc.com/product-detail/C1621.html?s_z=n_capacitor%25204.7nf%25200603" TargetMode="External"/><Relationship Id="rId41" Type="http://schemas.openxmlformats.org/officeDocument/2006/relationships/hyperlink" Target="https://www.lcsc.com/" TargetMode="External"/><Relationship Id="rId42" Type="http://schemas.openxmlformats.org/officeDocument/2006/relationships/hyperlink" Target="https://www.lcsc.com/product-detail/C33353.html?s_z=n_capacitor%25202.2nf%25200603" TargetMode="External"/><Relationship Id="rId43" Type="http://schemas.openxmlformats.org/officeDocument/2006/relationships/hyperlink" Target="https://www.lcsc.com/" TargetMode="External"/><Relationship Id="rId44" Type="http://schemas.openxmlformats.org/officeDocument/2006/relationships/hyperlink" Target="https://www.lcsc.com/product-detail/C107081.html?s_z=n_capacitor%25200603%2520220pf" TargetMode="External"/><Relationship Id="rId45" Type="http://schemas.openxmlformats.org/officeDocument/2006/relationships/hyperlink" Target="https://www.lcsc.com/" TargetMode="External"/><Relationship Id="rId46" Type="http://schemas.openxmlformats.org/officeDocument/2006/relationships/hyperlink" Target="https://www.lcsc.com/product-detail/C107034.html?s_z=n_capacitor%25200603%252012pf" TargetMode="External"/><Relationship Id="rId47" Type="http://schemas.openxmlformats.org/officeDocument/2006/relationships/hyperlink" Target="https://www.lcsc.com/" TargetMode="External"/><Relationship Id="rId48" Type="http://schemas.openxmlformats.org/officeDocument/2006/relationships/hyperlink" Target="https://www.lcsc.com/product-detail/C376772.html?s_z=n_capacitor%25200603%25201.5pf" TargetMode="External"/><Relationship Id="rId49" Type="http://schemas.openxmlformats.org/officeDocument/2006/relationships/hyperlink" Target="https://www.lcsc.com/" TargetMode="External"/><Relationship Id="rId50" Type="http://schemas.openxmlformats.org/officeDocument/2006/relationships/hyperlink" Target="https://www.lcsc.com/product-detail/C5137611.html?s_z=n_capacitor%2520smd%25200603%25201pf" TargetMode="External"/><Relationship Id="rId51" Type="http://schemas.openxmlformats.org/officeDocument/2006/relationships/hyperlink" Target="https://www.lcsc.com/" TargetMode="External"/><Relationship Id="rId52" Type="http://schemas.openxmlformats.org/officeDocument/2006/relationships/hyperlink" Target="https://www.lcsc.com/product-detail/C5375816.html?s_z=n_capacitor%25200603%25200.3pf" TargetMode="External"/><Relationship Id="rId53" Type="http://schemas.openxmlformats.org/officeDocument/2006/relationships/hyperlink" Target="https://www.lcsc.com/" TargetMode="External"/><Relationship Id="rId54" Type="http://schemas.openxmlformats.org/officeDocument/2006/relationships/hyperlink" Target="https://www.lcsc.com/product-detail/C6949223.html?s_z=n_resistor%2520smd%25201m%25200603" TargetMode="External"/><Relationship Id="rId55" Type="http://schemas.openxmlformats.org/officeDocument/2006/relationships/hyperlink" Target="https://www.lcsc.com/" TargetMode="External"/><Relationship Id="rId56" Type="http://schemas.openxmlformats.org/officeDocument/2006/relationships/hyperlink" Target="https://www.lcsc.com/product-detail/C2907128.html?s_z=n_resistor%2520smd%25200603%252022k" TargetMode="External"/><Relationship Id="rId57" Type="http://schemas.openxmlformats.org/officeDocument/2006/relationships/hyperlink" Target="https://www.lcsc.com/" TargetMode="External"/><Relationship Id="rId58" Type="http://schemas.openxmlformats.org/officeDocument/2006/relationships/hyperlink" Target="https://www.lcsc.com/product-detail/C2907124.html?s_z=n_resistor%2520smd%25200603%252020k" TargetMode="External"/><Relationship Id="rId59" Type="http://schemas.openxmlformats.org/officeDocument/2006/relationships/hyperlink" Target="https://www.lcsc.com/" TargetMode="External"/><Relationship Id="rId60" Type="http://schemas.openxmlformats.org/officeDocument/2006/relationships/hyperlink" Target="https://www.lcsc.com/product-detail/C2906982.html?s_z=n_resistor%25200603%252010k" TargetMode="External"/><Relationship Id="rId61" Type="http://schemas.openxmlformats.org/officeDocument/2006/relationships/hyperlink" Target="https://www.lcsc.com/" TargetMode="External"/><Relationship Id="rId62" Type="http://schemas.openxmlformats.org/officeDocument/2006/relationships/hyperlink" Target="https://www.lcsc.com/product-detail/C2907022.html?s_z=n_resistor%25200603%25202k" TargetMode="External"/><Relationship Id="rId63" Type="http://schemas.openxmlformats.org/officeDocument/2006/relationships/hyperlink" Target="https://www.lcsc.com/" TargetMode="External"/><Relationship Id="rId64" Type="http://schemas.openxmlformats.org/officeDocument/2006/relationships/hyperlink" Target="https://www.lcsc.com/product-detail/C2907113.html?s_z=n_resistor%25200603%25201k" TargetMode="External"/><Relationship Id="rId65" Type="http://schemas.openxmlformats.org/officeDocument/2006/relationships/hyperlink" Target="https://www.lcsc.com/" TargetMode="External"/><Relationship Id="rId66" Type="http://schemas.openxmlformats.org/officeDocument/2006/relationships/hyperlink" Target="https://www.lcsc.com/product-detail/C17444183.html" TargetMode="External"/><Relationship Id="rId67" Type="http://schemas.openxmlformats.org/officeDocument/2006/relationships/hyperlink" Target="https://www.lcsc.com/" TargetMode="External"/><Relationship Id="rId68" Type="http://schemas.openxmlformats.org/officeDocument/2006/relationships/hyperlink" Target="https://www.lcsc.com/product-detail/C412032.html?s_z=n_shielded%2520inductor%2520smd%25200603%25208.2nh" TargetMode="External"/><Relationship Id="rId69" Type="http://schemas.openxmlformats.org/officeDocument/2006/relationships/hyperlink" Target="https://www.lcsc.com/" TargetMode="External"/><Relationship Id="rId70" Type="http://schemas.openxmlformats.org/officeDocument/2006/relationships/hyperlink" Target="https://www.lcsc.com/product-detail/C964023.html?s_z=n_inductor%25200603%25203.9nh" TargetMode="External"/><Relationship Id="rId71" Type="http://schemas.openxmlformats.org/officeDocument/2006/relationships/hyperlink" Target="https://www.lcsc.com/" TargetMode="External"/><Relationship Id="rId72" Type="http://schemas.openxmlformats.org/officeDocument/2006/relationships/hyperlink" Target="https://www.lcsc.com/product-detail/C5252358.html?s_z=n_inductor%25200603%25202.7nh" TargetMode="External"/><Relationship Id="rId73" Type="http://schemas.openxmlformats.org/officeDocument/2006/relationships/hyperlink" Target="https://www.lcsc.com/" TargetMode="External"/><Relationship Id="rId74" Type="http://schemas.openxmlformats.org/officeDocument/2006/relationships/hyperlink" Target="https://www.lcsc.com/product-detail/C395082.html?s_z=n_inductor%25200603%25202.4nh" TargetMode="External"/><Relationship Id="rId75" Type="http://schemas.openxmlformats.org/officeDocument/2006/relationships/hyperlink" Target="https://www.lcsc.com/" TargetMode="External"/><Relationship Id="rId76" Type="http://schemas.openxmlformats.org/officeDocument/2006/relationships/hyperlink" Target="https://www.lcsc.com/product-detail/C173290.html?s_z=n_inductor%25200603%25202.4nh" TargetMode="External"/><Relationship Id="rId77" Type="http://schemas.openxmlformats.org/officeDocument/2006/relationships/hyperlink" Target="https://www.lcsc.com/" TargetMode="External"/><Relationship Id="rId78" Type="http://schemas.openxmlformats.org/officeDocument/2006/relationships/hyperlink" Target="https://www.lcsc.com/product-detail/C19171390.html?s_z=n_led%2520smd%25200603" TargetMode="External"/><Relationship Id="rId79" Type="http://schemas.openxmlformats.org/officeDocument/2006/relationships/hyperlink" Target="https://www.lcsc.com/" TargetMode="External"/><Relationship Id="rId80" Type="http://schemas.openxmlformats.org/officeDocument/2006/relationships/hyperlink" Target="https://www.lcsc.com/product-detail/C19273151.html?s_z=n_led%2520smd%25200603" TargetMode="External"/><Relationship Id="rId81" Type="http://schemas.openxmlformats.org/officeDocument/2006/relationships/hyperlink" Target="https://www.lcsc.com/" TargetMode="External"/><Relationship Id="rId82" Type="http://schemas.openxmlformats.org/officeDocument/2006/relationships/hyperlink" Target="https://www.lcsc.com/product-detail/C614832.html" TargetMode="External"/><Relationship Id="rId83" Type="http://schemas.openxmlformats.org/officeDocument/2006/relationships/hyperlink" Target="https://www.lcsc.com/" TargetMode="External"/><Relationship Id="rId84" Type="http://schemas.openxmlformats.org/officeDocument/2006/relationships/hyperlink" Target="https://www.lcsc.com/product-detail/C7661.html" TargetMode="External"/><Relationship Id="rId85" Type="http://schemas.openxmlformats.org/officeDocument/2006/relationships/hyperlink" Target="https://www.lcsc.com/" TargetMode="External"/><Relationship Id="rId86" Type="http://schemas.openxmlformats.org/officeDocument/2006/relationships/hyperlink" Target="https://www.lcsc.com/product-detail/C92489.html" TargetMode="External"/><Relationship Id="rId87" Type="http://schemas.openxmlformats.org/officeDocument/2006/relationships/hyperlink" Target="https://www.lcsc.com/" TargetMode="External"/><Relationship Id="rId88" Type="http://schemas.openxmlformats.org/officeDocument/2006/relationships/hyperlink" Target="https://www.lcsc.com/product-detail/C9642.html" TargetMode="External"/><Relationship Id="rId89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ouser.fr/ProductDetail/Amphenol-SGX-Sensortech/MICS-6814?qs=YCa%2FAAYMW01pNK%252BnW3Jo7g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12.67578125" defaultRowHeight="15" customHeight="true" zeroHeight="false" outlineLevelRow="0" outlineLevelCol="0"/>
  <cols>
    <col collapsed="false" customWidth="true" hidden="false" outlineLevel="0" max="1" min="1" style="1" width="9.35"/>
    <col collapsed="false" customWidth="true" hidden="false" outlineLevel="0" max="2" min="2" style="1" width="32.67"/>
    <col collapsed="false" customWidth="true" hidden="false" outlineLevel="0" max="3" min="3" style="1" width="29.5"/>
    <col collapsed="false" customWidth="true" hidden="false" outlineLevel="0" max="4" min="4" style="1" width="46.67"/>
    <col collapsed="false" customWidth="true" hidden="false" outlineLevel="0" max="5" min="5" style="1" width="21.35"/>
    <col collapsed="false" customWidth="true" hidden="false" outlineLevel="0" max="6" min="6" style="1" width="40.67"/>
    <col collapsed="false" customWidth="true" hidden="false" outlineLevel="0" max="7" min="7" style="1" width="25.17"/>
    <col collapsed="false" customWidth="false" hidden="false" outlineLevel="0" max="16384" min="8" style="1" width="12.67"/>
  </cols>
  <sheetData>
    <row r="1" customFormat="false" ht="13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3.5" hidden="false" customHeight="true" outlineLevel="0" collapsed="false">
      <c r="A2" s="2"/>
      <c r="B2" s="2"/>
      <c r="C2" s="3" t="s">
        <v>0</v>
      </c>
      <c r="D2" s="4" t="s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3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3.5" hidden="false" customHeight="true" outlineLevel="0" collapsed="false">
      <c r="A4" s="2"/>
      <c r="B4" s="2"/>
      <c r="C4" s="3" t="s">
        <v>2</v>
      </c>
      <c r="D4" s="5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3.5" hidden="false" customHeight="true" outlineLevel="0" collapsed="false">
      <c r="A5" s="2"/>
      <c r="B5" s="2"/>
      <c r="C5" s="3" t="s">
        <v>4</v>
      </c>
      <c r="D5" s="5" t="s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3.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3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3.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2"/>
      <c r="B9" s="2"/>
      <c r="C9" s="6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3.5" hidden="false" customHeight="true" outlineLevel="0" collapsed="false">
      <c r="A10" s="2"/>
      <c r="B10" s="2"/>
      <c r="C10" s="2"/>
      <c r="D10" s="2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3.5" hidden="false" customHeight="true" outlineLevel="0" collapsed="false">
      <c r="A11" s="8"/>
      <c r="B11" s="8"/>
      <c r="C11" s="8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3.5" hidden="false" customHeight="true" outlineLevel="0" collapsed="false">
      <c r="A12" s="9"/>
      <c r="B12" s="10" t="s">
        <v>7</v>
      </c>
      <c r="C12" s="11" t="s">
        <v>8</v>
      </c>
      <c r="D12" s="12" t="s">
        <v>9</v>
      </c>
      <c r="E12" s="13" t="s">
        <v>10</v>
      </c>
      <c r="F12" s="1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3.5" hidden="false" customHeight="true" outlineLevel="0" collapsed="false">
      <c r="A13" s="15" t="n">
        <v>1</v>
      </c>
      <c r="B13" s="16" t="s">
        <v>11</v>
      </c>
      <c r="C13" s="17" t="n">
        <f aca="false">AliExpress!F10</f>
        <v>21.38</v>
      </c>
      <c r="D13" s="18" t="s">
        <v>12</v>
      </c>
      <c r="E13" s="19"/>
      <c r="F13" s="1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3.5" hidden="false" customHeight="true" outlineLevel="0" collapsed="false">
      <c r="A14" s="20" t="n">
        <v>2</v>
      </c>
      <c r="B14" s="21" t="s">
        <v>13</v>
      </c>
      <c r="C14" s="22" t="n">
        <f aca="false">LCSC!F49</f>
        <v>31.1633</v>
      </c>
      <c r="D14" s="23" t="s">
        <v>12</v>
      </c>
      <c r="E14" s="24"/>
      <c r="F14" s="1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3.5" hidden="false" customHeight="true" outlineLevel="0" collapsed="false">
      <c r="A15" s="25" t="n">
        <v>3</v>
      </c>
      <c r="B15" s="26" t="s">
        <v>14</v>
      </c>
      <c r="C15" s="27" t="n">
        <f aca="false">Mouser!F7</f>
        <v>7.12</v>
      </c>
      <c r="D15" s="23" t="s">
        <v>12</v>
      </c>
      <c r="E15" s="28"/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3.5" hidden="false" customHeight="true" outlineLevel="0" collapsed="false">
      <c r="A16" s="20" t="n">
        <v>4</v>
      </c>
      <c r="B16" s="29"/>
      <c r="C16" s="22"/>
      <c r="D16" s="30"/>
      <c r="E16" s="31"/>
      <c r="F16" s="1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3.5" hidden="false" customHeight="true" outlineLevel="0" collapsed="false">
      <c r="A17" s="25" t="n">
        <v>5</v>
      </c>
      <c r="B17" s="26"/>
      <c r="C17" s="27"/>
      <c r="D17" s="32"/>
      <c r="E17" s="33"/>
      <c r="F17" s="34"/>
      <c r="G17" s="7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3.5" hidden="false" customHeight="true" outlineLevel="0" collapsed="false">
      <c r="A18" s="20" t="n">
        <v>6</v>
      </c>
      <c r="B18" s="35"/>
      <c r="C18" s="22"/>
      <c r="D18" s="30"/>
      <c r="E18" s="31"/>
      <c r="F18" s="1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3.5" hidden="false" customHeight="true" outlineLevel="0" collapsed="false">
      <c r="A19" s="25" t="n">
        <v>7</v>
      </c>
      <c r="B19" s="36"/>
      <c r="C19" s="37"/>
      <c r="D19" s="32"/>
      <c r="E19" s="33"/>
      <c r="F19" s="1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3.5" hidden="false" customHeight="true" outlineLevel="0" collapsed="false">
      <c r="A20" s="20" t="n">
        <v>8</v>
      </c>
      <c r="B20" s="35"/>
      <c r="C20" s="38"/>
      <c r="D20" s="30"/>
      <c r="E20" s="31"/>
      <c r="F20" s="1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5" t="n">
        <v>9</v>
      </c>
      <c r="B21" s="36"/>
      <c r="C21" s="39"/>
      <c r="D21" s="40"/>
      <c r="E21" s="33"/>
      <c r="F21" s="1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0" t="n">
        <v>10</v>
      </c>
      <c r="B22" s="35"/>
      <c r="C22" s="41"/>
      <c r="D22" s="42"/>
      <c r="E22" s="31"/>
      <c r="F22" s="1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5" t="n">
        <v>11</v>
      </c>
      <c r="B23" s="36"/>
      <c r="C23" s="39"/>
      <c r="D23" s="40"/>
      <c r="E23" s="33"/>
      <c r="F23" s="1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0" t="n">
        <v>12</v>
      </c>
      <c r="B24" s="35"/>
      <c r="C24" s="41"/>
      <c r="D24" s="42"/>
      <c r="E24" s="31"/>
      <c r="F24" s="1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5" t="n">
        <v>13</v>
      </c>
      <c r="B25" s="36"/>
      <c r="C25" s="39"/>
      <c r="D25" s="40"/>
      <c r="E25" s="33"/>
      <c r="F25" s="1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0" t="n">
        <v>14</v>
      </c>
      <c r="B26" s="35"/>
      <c r="C26" s="41"/>
      <c r="D26" s="42"/>
      <c r="E26" s="31"/>
      <c r="F26" s="1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5" t="n">
        <v>15</v>
      </c>
      <c r="B27" s="36"/>
      <c r="C27" s="39"/>
      <c r="D27" s="40"/>
      <c r="E27" s="33"/>
      <c r="F27" s="1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0" t="n">
        <v>16</v>
      </c>
      <c r="B28" s="35"/>
      <c r="C28" s="41"/>
      <c r="D28" s="42"/>
      <c r="E28" s="31"/>
      <c r="F28" s="1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5" t="n">
        <v>17</v>
      </c>
      <c r="B29" s="36"/>
      <c r="C29" s="39"/>
      <c r="D29" s="40"/>
      <c r="E29" s="33"/>
      <c r="F29" s="1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20" t="n">
        <v>18</v>
      </c>
      <c r="B30" s="35"/>
      <c r="C30" s="41"/>
      <c r="D30" s="42"/>
      <c r="E30" s="31"/>
      <c r="F30" s="1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5" t="n">
        <v>19</v>
      </c>
      <c r="B31" s="36"/>
      <c r="C31" s="39"/>
      <c r="D31" s="40"/>
      <c r="E31" s="33"/>
      <c r="F31" s="1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43" t="n">
        <v>20</v>
      </c>
      <c r="B32" s="44"/>
      <c r="C32" s="45"/>
      <c r="D32" s="46"/>
      <c r="E32" s="47"/>
      <c r="F32" s="1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9"/>
      <c r="B33" s="48"/>
      <c r="C33" s="49" t="n">
        <f aca="false">SUM(C13:C32)</f>
        <v>59.6633</v>
      </c>
      <c r="D33" s="50"/>
      <c r="E33" s="9"/>
      <c r="F33" s="1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51"/>
      <c r="B34" s="51"/>
      <c r="C34" s="51"/>
      <c r="D34" s="51"/>
      <c r="E34" s="5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3.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3.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3.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3.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3.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3.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3.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3.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3.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3.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3.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3.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3.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3.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3.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3.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3.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3.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3.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3.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3.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3.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3.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3.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3.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3.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3.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3.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3.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3.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3.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3.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3.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3.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3.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3.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3.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3.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3.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3.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3.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3.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3.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3.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3.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3.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3.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3.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3.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3.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3.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3.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3.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3.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3.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3.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3.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3.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3.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3.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3.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3.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3.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3.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3.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3.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3.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3.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3.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3.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3.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3.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3.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3.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3.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3.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3.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3.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3.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3.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3.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3.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3.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3.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3.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3.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3.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3.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3.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3.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3.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3.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3.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3.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3.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3.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3.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3.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3.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3.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3.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3.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3.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3.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3.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3.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3.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3.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3.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3.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3.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3.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3.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3.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3.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3.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3.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3.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3.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3.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3.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3.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3.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3.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3.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3.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3.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3.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3.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3.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3.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3.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3.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3.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3.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3.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3.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3.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3.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3.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3.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3.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3.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3.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3.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3.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3.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3.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3.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3.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3.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3.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3.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3.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3.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3.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3.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3.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3.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3.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3.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3.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3.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3.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3.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3.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3.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3.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3.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3.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3.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3.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3.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3.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3.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3.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3.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3.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3.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3.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3.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3.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3.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3.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3.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3.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3.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3.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3.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3.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3.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3.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3.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3.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3.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3.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3.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3.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3.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3.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3.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3.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3.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3.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3.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3.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3.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3.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3.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3.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3.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3.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3.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3.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3.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3.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3.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3.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3.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3.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3.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3.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3.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3.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3.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3.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3.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3.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3.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3.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3.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3.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3.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3.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3.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3.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3.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3.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3.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3.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3.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3.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3.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3.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3.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3.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3.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3.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3.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3.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3.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3.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3.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3.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3.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3.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3.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3.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3.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3.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3.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3.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3.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3.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3.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3.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3.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3.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3.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3.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3.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3.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3.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3.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3.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3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3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3.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3.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3.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3.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3.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3.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3.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3.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3.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3.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3.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3.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3.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3.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3.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3.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3.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3.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3.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3.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3.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3.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3.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3.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3.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3.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3.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3.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3.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3.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3.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3.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3.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3.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3.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3.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3.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3.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3.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3.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3.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3.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3.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3.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3.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3.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3.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3.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3.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3.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3.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3.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3.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3.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3.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3.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3.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3.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3.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3.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3.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3.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3.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3.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3.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3.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3.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3.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3.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3.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3.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3.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3.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3.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3.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3.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3.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3.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3.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3.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3.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3.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3.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3.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3.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3.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3.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3.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3.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3.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3.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3.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3.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3.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3.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3.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3.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3.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3.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3.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3.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3.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3.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3.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3.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3.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3.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3.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3.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3.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3.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3.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3.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3.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3.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3.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3.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3.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3.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3.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3.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3.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3.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3.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3.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3.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3.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3.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3.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3.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3.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3.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3.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3.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3.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3.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3.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3.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3.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3.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3.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3.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3.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3.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3.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3.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3.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3.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3.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3.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3.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3.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3.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3.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3.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3.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3.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3.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3.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3.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3.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3.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3.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3.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3.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3.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3.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3.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3.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3.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3.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3.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3.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3.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3.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3.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3.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3.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3.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3.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3.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3.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3.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3.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3.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3.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3.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3.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3.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3.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3.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3.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3.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3.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3.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3.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3.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3.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3.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3.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3.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3.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3.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3.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3.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3.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3.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3.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3.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3.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3.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3.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3.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3.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3.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3.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3.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3.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3.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3.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3.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3.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3.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3.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3.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3.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3.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3.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3.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3.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3.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3.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3.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3.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3.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3.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3.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3.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3.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3.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3.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3.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3.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3.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3.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3.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3.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3.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3.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3.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3.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3.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3.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3.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3.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3.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3.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3.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3.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3.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3.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3.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3.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3.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3.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3.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3.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3.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3.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3.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3.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3.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3.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3.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3.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3.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3.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3.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3.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3.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3.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3.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3.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3.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3.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3.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3.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3.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3.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3.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3.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3.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3.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3.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3.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3.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3.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3.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3.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3.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3.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3.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3.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3.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3.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3.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3.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3.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3.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3.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3.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3.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3.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3.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3.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3.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3.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3.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3.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3.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3.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3.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3.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3.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3.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3.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3.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3.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3.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3.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3.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3.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3.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3.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3.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3.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3.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3.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3.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3.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3.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3.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3.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3.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3.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3.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3.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3.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3.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3.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3.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3.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3.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3.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3.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3.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3.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3.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3.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3.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3.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3.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3.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3.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3.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3.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3.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3.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3.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3.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3.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3.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3.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3.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3.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3.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3.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3.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3.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3.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3.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3.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3.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3.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3.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3.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3.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3.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3.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3.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3.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3.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3.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3.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3.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3.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3.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3.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3.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3.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3.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3.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3.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3.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3.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3.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3.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3.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3.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3.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3.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3.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3.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3.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3.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3.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3.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3.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3.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3.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3.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3.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3.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3.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3.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3.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3.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3.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3.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3.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3.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3.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3.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3.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3.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3.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3.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3.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3.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3.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3.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3.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3.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3.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3.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3.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3.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3.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3.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3.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3.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3.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3.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3.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3.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3.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3.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3.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3.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3.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3.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3.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3.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3.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3.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3.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3.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3.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3.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3.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3.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3.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3.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3.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3.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3.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3.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3.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3.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3.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3.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3.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3.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3.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3.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3.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3.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3.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3.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3.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C13:C20 C33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5" customHeight="true" zeroHeight="false" outlineLevelRow="0" outlineLevelCol="0"/>
  <cols>
    <col collapsed="false" customWidth="true" hidden="false" outlineLevel="0" max="1" min="1" style="1" width="60.85"/>
    <col collapsed="false" customWidth="true" hidden="false" outlineLevel="0" max="2" min="2" style="1" width="16.35"/>
    <col collapsed="false" customWidth="true" hidden="false" outlineLevel="0" max="3" min="3" style="1" width="39.35"/>
    <col collapsed="false" customWidth="true" hidden="false" outlineLevel="0" max="4" min="4" style="1" width="17.85"/>
    <col collapsed="false" customWidth="true" hidden="false" outlineLevel="0" max="5" min="5" style="1" width="10.5"/>
    <col collapsed="false" customWidth="true" hidden="false" outlineLevel="0" max="6" min="6" style="1" width="15.5"/>
    <col collapsed="false" customWidth="true" hidden="false" outlineLevel="0" max="26" min="7" style="1" width="10.5"/>
    <col collapsed="false" customWidth="false" hidden="false" outlineLevel="0" max="16384" min="27" style="1" width="12.67"/>
  </cols>
  <sheetData>
    <row r="1" customFormat="false" ht="13.5" hidden="false" customHeight="true" outlineLevel="0" collapsed="false">
      <c r="A1" s="52" t="s">
        <v>15</v>
      </c>
      <c r="B1" s="53" t="s">
        <v>7</v>
      </c>
      <c r="C1" s="53" t="s">
        <v>16</v>
      </c>
      <c r="D1" s="54" t="s">
        <v>17</v>
      </c>
      <c r="E1" s="54" t="s">
        <v>18</v>
      </c>
      <c r="F1" s="54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6.6" hidden="false" customHeight="true" outlineLevel="0" collapsed="false">
      <c r="A2" s="55" t="s">
        <v>20</v>
      </c>
      <c r="B2" s="56" t="s">
        <v>11</v>
      </c>
      <c r="C2" s="56" t="s">
        <v>21</v>
      </c>
      <c r="D2" s="57" t="n">
        <v>3.21</v>
      </c>
      <c r="E2" s="57" t="n">
        <v>1</v>
      </c>
      <c r="F2" s="58" t="n">
        <f aca="false">D2*E2</f>
        <v>3.21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6.6" hidden="false" customHeight="true" outlineLevel="0" collapsed="false">
      <c r="A3" s="55" t="s">
        <v>22</v>
      </c>
      <c r="B3" s="59" t="str">
        <f aca="false">B2</f>
        <v>AliExpress</v>
      </c>
      <c r="C3" s="56" t="s">
        <v>23</v>
      </c>
      <c r="D3" s="57" t="n">
        <v>0.44</v>
      </c>
      <c r="E3" s="57" t="n">
        <v>2</v>
      </c>
      <c r="F3" s="58" t="n">
        <f aca="false">D3*E3</f>
        <v>0.88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6.6" hidden="false" customHeight="true" outlineLevel="0" collapsed="false">
      <c r="A4" s="55" t="s">
        <v>24</v>
      </c>
      <c r="B4" s="59" t="str">
        <f aca="false">B3</f>
        <v>AliExpress</v>
      </c>
      <c r="C4" s="56" t="s">
        <v>25</v>
      </c>
      <c r="D4" s="57" t="n">
        <v>9.19</v>
      </c>
      <c r="E4" s="57" t="n">
        <v>1</v>
      </c>
      <c r="F4" s="58" t="n">
        <f aca="false">D4*E4</f>
        <v>9.19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6.6" hidden="false" customHeight="true" outlineLevel="0" collapsed="false">
      <c r="A5" s="55" t="s">
        <v>26</v>
      </c>
      <c r="B5" s="59" t="str">
        <f aca="false">B4</f>
        <v>AliExpress</v>
      </c>
      <c r="C5" s="56" t="s">
        <v>27</v>
      </c>
      <c r="D5" s="57" t="n">
        <v>2.47</v>
      </c>
      <c r="E5" s="57" t="n">
        <v>1</v>
      </c>
      <c r="F5" s="58" t="n">
        <f aca="false">D5*E5</f>
        <v>2.47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6.6" hidden="false" customHeight="true" outlineLevel="0" collapsed="false">
      <c r="A6" s="55" t="s">
        <v>28</v>
      </c>
      <c r="B6" s="59" t="str">
        <f aca="false">B5</f>
        <v>AliExpress</v>
      </c>
      <c r="C6" s="56" t="s">
        <v>29</v>
      </c>
      <c r="D6" s="57" t="n">
        <v>3.49</v>
      </c>
      <c r="E6" s="57" t="n">
        <v>1</v>
      </c>
      <c r="F6" s="58" t="n">
        <f aca="false">D6*E6</f>
        <v>3.49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6.6" hidden="false" customHeight="true" outlineLevel="0" collapsed="false">
      <c r="A7" s="57"/>
      <c r="B7" s="60"/>
      <c r="C7" s="60"/>
      <c r="D7" s="57"/>
      <c r="E7" s="57"/>
      <c r="F7" s="58" t="n">
        <f aca="false">D7*E7</f>
        <v>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2.75" hidden="false" customHeight="true" outlineLevel="0" collapsed="false">
      <c r="A8" s="55" t="s">
        <v>30</v>
      </c>
      <c r="B8" s="57"/>
      <c r="C8" s="57"/>
      <c r="D8" s="57" t="n">
        <v>2.14</v>
      </c>
      <c r="E8" s="57" t="n">
        <v>1</v>
      </c>
      <c r="F8" s="58" t="n">
        <f aca="false">D8*E8</f>
        <v>2.14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6.6" hidden="false" customHeight="true" outlineLevel="0" collapsed="false">
      <c r="A9" s="57"/>
      <c r="B9" s="57"/>
      <c r="C9" s="57"/>
      <c r="D9" s="57"/>
      <c r="E9" s="57"/>
      <c r="F9" s="6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2.75" hidden="false" customHeight="true" outlineLevel="0" collapsed="false">
      <c r="A10" s="57"/>
      <c r="B10" s="57"/>
      <c r="C10" s="57"/>
      <c r="D10" s="57"/>
      <c r="E10" s="62" t="s">
        <v>31</v>
      </c>
      <c r="F10" s="63" t="n">
        <f aca="false">SUM(F2:F8)</f>
        <v>21.38</v>
      </c>
      <c r="G10" s="6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true" outlineLevel="0" collapsed="false">
      <c r="A11" s="57"/>
      <c r="B11" s="57"/>
      <c r="C11" s="57"/>
      <c r="D11" s="57"/>
      <c r="E11" s="57"/>
      <c r="F11" s="6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6.6" hidden="false" customHeight="true" outlineLevel="0" collapsed="false">
      <c r="A12" s="57"/>
      <c r="B12" s="57"/>
      <c r="C12" s="57"/>
      <c r="D12" s="57"/>
      <c r="E12" s="57"/>
      <c r="F12" s="5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6.6" hidden="false" customHeight="true" outlineLevel="0" collapsed="false">
      <c r="A13" s="57"/>
      <c r="B13" s="57"/>
      <c r="C13" s="57"/>
      <c r="D13" s="57"/>
      <c r="E13" s="57"/>
      <c r="F13" s="5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57"/>
      <c r="B14" s="57"/>
      <c r="C14" s="57"/>
      <c r="D14" s="57"/>
      <c r="E14" s="57"/>
      <c r="F14" s="5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6.6" hidden="false" customHeight="true" outlineLevel="0" collapsed="false">
      <c r="A15" s="57"/>
      <c r="B15" s="57"/>
      <c r="C15" s="57"/>
      <c r="D15" s="57"/>
      <c r="E15" s="66"/>
      <c r="F15" s="5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6.6" hidden="false" customHeight="true" outlineLevel="0" collapsed="false">
      <c r="A16" s="57"/>
      <c r="B16" s="57"/>
      <c r="C16" s="57"/>
      <c r="D16" s="57"/>
      <c r="E16" s="57"/>
      <c r="F16" s="5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6.6" hidden="false" customHeight="true" outlineLevel="0" collapsed="false">
      <c r="A17" s="57"/>
      <c r="B17" s="57"/>
      <c r="C17" s="57"/>
      <c r="D17" s="57"/>
      <c r="E17" s="57"/>
      <c r="F17" s="5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6.6" hidden="false" customHeight="true" outlineLevel="0" collapsed="false">
      <c r="A18" s="67"/>
      <c r="B18" s="67"/>
      <c r="C18" s="68"/>
      <c r="D18" s="67"/>
      <c r="E18" s="67"/>
      <c r="F18" s="61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customFormat="false" ht="16.6" hidden="false" customHeight="true" outlineLevel="0" collapsed="false">
      <c r="A19" s="70"/>
      <c r="B19" s="71"/>
      <c r="C19" s="71"/>
      <c r="D19" s="71"/>
      <c r="E19" s="71"/>
      <c r="F19" s="72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4"/>
    </row>
    <row r="20" customFormat="false" ht="16.6" hidden="false" customHeight="true" outlineLevel="0" collapsed="false">
      <c r="A20" s="70"/>
      <c r="B20" s="71"/>
      <c r="C20" s="71"/>
      <c r="D20" s="71"/>
      <c r="E20" s="71"/>
      <c r="F20" s="72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4"/>
    </row>
    <row r="21" customFormat="false" ht="16.6" hidden="false" customHeight="true" outlineLevel="0" collapsed="false">
      <c r="A21" s="70"/>
      <c r="B21" s="71"/>
      <c r="C21" s="71"/>
      <c r="D21" s="71"/>
      <c r="E21" s="71"/>
      <c r="F21" s="72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4"/>
    </row>
    <row r="22" customFormat="false" ht="14.25" hidden="false" customHeight="true" outlineLevel="0" collapsed="false">
      <c r="A22" s="70"/>
      <c r="B22" s="71"/>
      <c r="C22" s="71"/>
      <c r="D22" s="71"/>
      <c r="E22" s="71"/>
      <c r="F22" s="72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4"/>
    </row>
    <row r="23" customFormat="false" ht="16.6" hidden="false" customHeight="true" outlineLevel="0" collapsed="false">
      <c r="A23" s="70"/>
      <c r="B23" s="71"/>
      <c r="C23" s="71"/>
      <c r="D23" s="71"/>
      <c r="E23" s="71"/>
      <c r="F23" s="72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4"/>
    </row>
    <row r="24" customFormat="false" ht="16.6" hidden="false" customHeight="true" outlineLevel="0" collapsed="false">
      <c r="A24" s="70"/>
      <c r="B24" s="71"/>
      <c r="C24" s="71"/>
      <c r="D24" s="71"/>
      <c r="E24" s="71"/>
      <c r="F24" s="72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4"/>
    </row>
    <row r="25" customFormat="false" ht="16.6" hidden="false" customHeight="true" outlineLevel="0" collapsed="false">
      <c r="A25" s="70"/>
      <c r="B25" s="71"/>
      <c r="C25" s="71"/>
      <c r="D25" s="71"/>
      <c r="E25" s="71"/>
      <c r="F25" s="72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4"/>
    </row>
    <row r="26" customFormat="false" ht="16.6" hidden="false" customHeight="true" outlineLevel="0" collapsed="false">
      <c r="A26" s="70"/>
      <c r="B26" s="71"/>
      <c r="C26" s="71"/>
      <c r="D26" s="71"/>
      <c r="E26" s="71"/>
      <c r="F26" s="72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4"/>
    </row>
    <row r="27" customFormat="false" ht="16.6" hidden="false" customHeight="true" outlineLevel="0" collapsed="false">
      <c r="A27" s="70"/>
      <c r="B27" s="71"/>
      <c r="C27" s="71"/>
      <c r="D27" s="71"/>
      <c r="E27" s="71"/>
      <c r="F27" s="72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4"/>
    </row>
    <row r="28" customFormat="false" ht="16.6" hidden="false" customHeight="true" outlineLevel="0" collapsed="false">
      <c r="A28" s="70"/>
      <c r="B28" s="71"/>
      <c r="C28" s="71"/>
      <c r="D28" s="71"/>
      <c r="E28" s="71"/>
      <c r="F28" s="72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4"/>
    </row>
    <row r="29" customFormat="false" ht="16.6" hidden="false" customHeight="true" outlineLevel="0" collapsed="false">
      <c r="A29" s="70"/>
      <c r="B29" s="71"/>
      <c r="C29" s="71"/>
      <c r="D29" s="71"/>
      <c r="E29" s="71"/>
      <c r="F29" s="72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4"/>
    </row>
    <row r="30" customFormat="false" ht="16.6" hidden="false" customHeight="true" outlineLevel="0" collapsed="false">
      <c r="A30" s="70"/>
      <c r="B30" s="71"/>
      <c r="C30" s="71"/>
      <c r="D30" s="71"/>
      <c r="E30" s="71"/>
      <c r="F30" s="72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4"/>
    </row>
    <row r="31" customFormat="false" ht="16.6" hidden="false" customHeight="true" outlineLevel="0" collapsed="false">
      <c r="A31" s="70"/>
      <c r="B31" s="71"/>
      <c r="C31" s="71"/>
      <c r="D31" s="71"/>
      <c r="E31" s="71"/>
      <c r="F31" s="72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4"/>
    </row>
    <row r="32" customFormat="false" ht="16.6" hidden="false" customHeight="true" outlineLevel="0" collapsed="false">
      <c r="A32" s="70"/>
      <c r="B32" s="71"/>
      <c r="C32" s="71"/>
      <c r="D32" s="71"/>
      <c r="E32" s="71"/>
      <c r="F32" s="72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4"/>
    </row>
    <row r="33" customFormat="false" ht="16.6" hidden="false" customHeight="true" outlineLevel="0" collapsed="false">
      <c r="A33" s="70"/>
      <c r="B33" s="71"/>
      <c r="C33" s="71"/>
      <c r="D33" s="71"/>
      <c r="E33" s="71"/>
      <c r="F33" s="72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4"/>
    </row>
    <row r="34" customFormat="false" ht="16.6" hidden="false" customHeight="true" outlineLevel="0" collapsed="false">
      <c r="A34" s="70"/>
      <c r="B34" s="71"/>
      <c r="C34" s="71"/>
      <c r="D34" s="71"/>
      <c r="E34" s="71"/>
      <c r="F34" s="72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4"/>
    </row>
    <row r="35" customFormat="false" ht="16.6" hidden="false" customHeight="true" outlineLevel="0" collapsed="false">
      <c r="A35" s="70"/>
      <c r="B35" s="71"/>
      <c r="C35" s="71"/>
      <c r="D35" s="71"/>
      <c r="E35" s="71"/>
      <c r="F35" s="72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4"/>
    </row>
    <row r="36" customFormat="false" ht="14.25" hidden="false" customHeight="true" outlineLevel="0" collapsed="false">
      <c r="A36" s="70"/>
      <c r="B36" s="71"/>
      <c r="C36" s="71"/>
      <c r="D36" s="75"/>
      <c r="E36" s="71"/>
      <c r="F36" s="72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4"/>
    </row>
    <row r="37" customFormat="false" ht="16.6" hidden="false" customHeight="true" outlineLevel="0" collapsed="false">
      <c r="A37" s="70"/>
      <c r="B37" s="71"/>
      <c r="C37" s="71"/>
      <c r="D37" s="71"/>
      <c r="E37" s="71"/>
      <c r="F37" s="72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4"/>
    </row>
    <row r="38" customFormat="false" ht="13.5" hidden="false" customHeight="true" outlineLevel="0" collapsed="false">
      <c r="A38" s="70"/>
      <c r="B38" s="71"/>
      <c r="C38" s="71"/>
      <c r="D38" s="71"/>
      <c r="E38" s="71"/>
      <c r="F38" s="72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4"/>
    </row>
    <row r="39" customFormat="false" ht="16.6" hidden="false" customHeight="true" outlineLevel="0" collapsed="false">
      <c r="A39" s="76"/>
      <c r="B39" s="76"/>
      <c r="C39" s="76"/>
      <c r="D39" s="76"/>
      <c r="E39" s="76"/>
      <c r="F39" s="65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customFormat="false" ht="16.6" hidden="false" customHeight="true" outlineLevel="0" collapsed="false">
      <c r="A40" s="57"/>
      <c r="B40" s="57"/>
      <c r="C40" s="57"/>
      <c r="D40" s="57"/>
      <c r="E40" s="57"/>
      <c r="F40" s="5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57"/>
      <c r="B41" s="57"/>
      <c r="C41" s="57"/>
      <c r="D41" s="57"/>
      <c r="E41" s="57"/>
      <c r="F41" s="5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6.6" hidden="false" customHeight="true" outlineLevel="0" collapsed="false">
      <c r="A42" s="57"/>
      <c r="B42" s="57"/>
      <c r="C42" s="57"/>
      <c r="D42" s="57"/>
      <c r="E42" s="57"/>
      <c r="F42" s="5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6.6" hidden="false" customHeight="true" outlineLevel="0" collapsed="false">
      <c r="A43" s="57"/>
      <c r="B43" s="57"/>
      <c r="C43" s="57"/>
      <c r="D43" s="57"/>
      <c r="E43" s="57"/>
      <c r="F43" s="5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6.6" hidden="false" customHeight="true" outlineLevel="0" collapsed="false">
      <c r="A44" s="57"/>
      <c r="B44" s="57"/>
      <c r="C44" s="57"/>
      <c r="D44" s="57"/>
      <c r="E44" s="57"/>
      <c r="F44" s="5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6.6" hidden="false" customHeight="true" outlineLevel="0" collapsed="false">
      <c r="A45" s="57"/>
      <c r="B45" s="57"/>
      <c r="C45" s="57"/>
      <c r="D45" s="57"/>
      <c r="E45" s="57"/>
      <c r="F45" s="5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6.6" hidden="false" customHeight="true" outlineLevel="0" collapsed="false">
      <c r="A46" s="57"/>
      <c r="B46" s="57"/>
      <c r="C46" s="57"/>
      <c r="D46" s="57"/>
      <c r="E46" s="57"/>
      <c r="F46" s="5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6.6" hidden="false" customHeight="true" outlineLevel="0" collapsed="false">
      <c r="A47" s="57"/>
      <c r="B47" s="57"/>
      <c r="C47" s="57"/>
      <c r="D47" s="57"/>
      <c r="E47" s="57"/>
      <c r="F47" s="5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6.6" hidden="false" customHeight="true" outlineLevel="0" collapsed="false">
      <c r="A48" s="57"/>
      <c r="B48" s="57"/>
      <c r="C48" s="57"/>
      <c r="D48" s="57"/>
      <c r="E48" s="57"/>
      <c r="F48" s="5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6.6" hidden="false" customHeight="true" outlineLevel="0" collapsed="false">
      <c r="A49" s="57"/>
      <c r="B49" s="57"/>
      <c r="C49" s="57"/>
      <c r="D49" s="57"/>
      <c r="E49" s="57"/>
      <c r="F49" s="5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6.6" hidden="false" customHeight="true" outlineLevel="0" collapsed="false">
      <c r="A50" s="57"/>
      <c r="B50" s="57"/>
      <c r="C50" s="57"/>
      <c r="D50" s="57"/>
      <c r="E50" s="57"/>
      <c r="F50" s="5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6.6" hidden="false" customHeight="true" outlineLevel="0" collapsed="false">
      <c r="A51" s="57"/>
      <c r="B51" s="57"/>
      <c r="C51" s="57"/>
      <c r="D51" s="57"/>
      <c r="E51" s="57"/>
      <c r="F51" s="5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6.6" hidden="false" customHeight="true" outlineLevel="0" collapsed="false">
      <c r="A52" s="57"/>
      <c r="B52" s="57"/>
      <c r="C52" s="57"/>
      <c r="D52" s="57"/>
      <c r="E52" s="57"/>
      <c r="F52" s="5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6.6" hidden="false" customHeight="true" outlineLevel="0" collapsed="false">
      <c r="A53" s="57"/>
      <c r="B53" s="57"/>
      <c r="C53" s="57"/>
      <c r="D53" s="57"/>
      <c r="E53" s="57"/>
      <c r="F53" s="5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6.6" hidden="false" customHeight="true" outlineLevel="0" collapsed="false">
      <c r="A54" s="57"/>
      <c r="B54" s="57"/>
      <c r="C54" s="57"/>
      <c r="D54" s="57"/>
      <c r="E54" s="57"/>
      <c r="F54" s="5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6.6" hidden="false" customHeight="true" outlineLevel="0" collapsed="false">
      <c r="A55" s="57"/>
      <c r="B55" s="57"/>
      <c r="C55" s="57"/>
      <c r="D55" s="57"/>
      <c r="E55" s="57"/>
      <c r="F55" s="7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6.6" hidden="false" customHeight="true" outlineLevel="0" collapsed="false">
      <c r="A56" s="57"/>
      <c r="B56" s="57"/>
      <c r="C56" s="57"/>
      <c r="D56" s="57"/>
      <c r="E56" s="57"/>
      <c r="F56" s="7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6.6" hidden="false" customHeight="true" outlineLevel="0" collapsed="false">
      <c r="A57" s="57"/>
      <c r="B57" s="57"/>
      <c r="C57" s="57"/>
      <c r="D57" s="57"/>
      <c r="E57" s="57"/>
      <c r="F57" s="7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6.6" hidden="false" customHeight="true" outlineLevel="0" collapsed="false">
      <c r="A58" s="57"/>
      <c r="B58" s="57"/>
      <c r="C58" s="57"/>
      <c r="D58" s="57"/>
      <c r="E58" s="57"/>
      <c r="F58" s="7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6.6" hidden="false" customHeight="true" outlineLevel="0" collapsed="false">
      <c r="A59" s="57"/>
      <c r="B59" s="57"/>
      <c r="C59" s="57"/>
      <c r="D59" s="57"/>
      <c r="E59" s="57"/>
      <c r="F59" s="7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6.6" hidden="false" customHeight="true" outlineLevel="0" collapsed="false">
      <c r="A60" s="57"/>
      <c r="B60" s="57"/>
      <c r="C60" s="57"/>
      <c r="D60" s="57"/>
      <c r="E60" s="57"/>
      <c r="F60" s="7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6.6" hidden="false" customHeight="true" outlineLevel="0" collapsed="false">
      <c r="A61" s="57"/>
      <c r="B61" s="57"/>
      <c r="C61" s="57"/>
      <c r="D61" s="57"/>
      <c r="E61" s="57"/>
      <c r="F61" s="7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6.6" hidden="false" customHeight="true" outlineLevel="0" collapsed="false">
      <c r="A62" s="57"/>
      <c r="B62" s="57"/>
      <c r="C62" s="57"/>
      <c r="D62" s="57"/>
      <c r="E62" s="57"/>
      <c r="F62" s="7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6.6" hidden="false" customHeight="true" outlineLevel="0" collapsed="false">
      <c r="A63" s="57"/>
      <c r="B63" s="57"/>
      <c r="C63" s="57"/>
      <c r="D63" s="57"/>
      <c r="E63" s="57"/>
      <c r="F63" s="7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6.6" hidden="false" customHeight="true" outlineLevel="0" collapsed="false">
      <c r="A64" s="57"/>
      <c r="B64" s="57"/>
      <c r="C64" s="57"/>
      <c r="D64" s="57"/>
      <c r="E64" s="57"/>
      <c r="F64" s="7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6.6" hidden="false" customHeight="true" outlineLevel="0" collapsed="false">
      <c r="A65" s="57"/>
      <c r="B65" s="57"/>
      <c r="C65" s="2"/>
      <c r="D65" s="57"/>
      <c r="E65" s="57"/>
      <c r="F65" s="7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6.6" hidden="false" customHeight="true" outlineLevel="0" collapsed="false">
      <c r="A66" s="57"/>
      <c r="B66" s="60"/>
      <c r="C66" s="57"/>
      <c r="D66" s="57"/>
      <c r="E66" s="57"/>
      <c r="F66" s="7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6.6" hidden="false" customHeight="true" outlineLevel="0" collapsed="false">
      <c r="A67" s="57"/>
      <c r="B67" s="57"/>
      <c r="C67" s="57"/>
      <c r="D67" s="57"/>
      <c r="E67" s="66"/>
      <c r="F67" s="5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6.6" hidden="false" customHeight="true" outlineLevel="0" collapsed="false">
      <c r="A68" s="57"/>
      <c r="B68" s="57"/>
      <c r="C68" s="57"/>
      <c r="D68" s="57"/>
      <c r="E68" s="66"/>
      <c r="F68" s="5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6.6" hidden="false" customHeight="true" outlineLevel="0" collapsed="false">
      <c r="A69" s="57"/>
      <c r="B69" s="57"/>
      <c r="C69" s="57"/>
      <c r="D69" s="57"/>
      <c r="E69" s="66"/>
      <c r="F69" s="5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6.6" hidden="false" customHeight="true" outlineLevel="0" collapsed="false">
      <c r="A70" s="57"/>
      <c r="B70" s="57"/>
      <c r="C70" s="57"/>
      <c r="D70" s="57"/>
      <c r="E70" s="66"/>
      <c r="F70" s="5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6.6" hidden="false" customHeight="true" outlineLevel="0" collapsed="false">
      <c r="A71" s="57"/>
      <c r="B71" s="57"/>
      <c r="C71" s="57"/>
      <c r="D71" s="57"/>
      <c r="E71" s="66"/>
      <c r="F71" s="5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2.75" hidden="false" customHeight="true" outlineLevel="0" collapsed="false">
      <c r="A72" s="57"/>
      <c r="B72" s="57"/>
      <c r="C72" s="57"/>
      <c r="D72" s="57"/>
      <c r="E72" s="66"/>
      <c r="F72" s="5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2.75" hidden="false" customHeight="true" outlineLevel="0" collapsed="false">
      <c r="A73" s="57"/>
      <c r="B73" s="57"/>
      <c r="C73" s="57"/>
      <c r="D73" s="57"/>
      <c r="E73" s="66"/>
      <c r="F73" s="5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2.75" hidden="false" customHeight="true" outlineLevel="0" collapsed="false">
      <c r="A74" s="57"/>
      <c r="B74" s="57"/>
      <c r="C74" s="57"/>
      <c r="D74" s="57"/>
      <c r="E74" s="66"/>
      <c r="F74" s="5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2.75" hidden="false" customHeight="true" outlineLevel="0" collapsed="false">
      <c r="A75" s="57"/>
      <c r="B75" s="57"/>
      <c r="C75" s="57"/>
      <c r="D75" s="57"/>
      <c r="E75" s="66"/>
      <c r="F75" s="5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2.75" hidden="false" customHeight="true" outlineLevel="0" collapsed="false">
      <c r="A76" s="57"/>
      <c r="B76" s="57"/>
      <c r="C76" s="57"/>
      <c r="D76" s="57"/>
      <c r="E76" s="66"/>
      <c r="F76" s="5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2.75" hidden="false" customHeight="true" outlineLevel="0" collapsed="false">
      <c r="A77" s="57"/>
      <c r="B77" s="57"/>
      <c r="C77" s="57"/>
      <c r="D77" s="57"/>
      <c r="E77" s="66"/>
      <c r="F77" s="5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2.75" hidden="false" customHeight="true" outlineLevel="0" collapsed="false">
      <c r="A78" s="57"/>
      <c r="B78" s="57"/>
      <c r="C78" s="57"/>
      <c r="D78" s="57"/>
      <c r="E78" s="66"/>
      <c r="F78" s="5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2.75" hidden="false" customHeight="true" outlineLevel="0" collapsed="false">
      <c r="A79" s="57"/>
      <c r="B79" s="57"/>
      <c r="C79" s="57"/>
      <c r="D79" s="57"/>
      <c r="E79" s="66"/>
      <c r="F79" s="5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2.75" hidden="false" customHeight="true" outlineLevel="0" collapsed="false">
      <c r="A80" s="57"/>
      <c r="B80" s="57"/>
      <c r="C80" s="57"/>
      <c r="D80" s="57"/>
      <c r="E80" s="66"/>
      <c r="F80" s="5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2.75" hidden="false" customHeight="true" outlineLevel="0" collapsed="false">
      <c r="A81" s="57"/>
      <c r="B81" s="57"/>
      <c r="C81" s="57"/>
      <c r="D81" s="57"/>
      <c r="E81" s="66"/>
      <c r="F81" s="5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2.75" hidden="false" customHeight="true" outlineLevel="0" collapsed="false">
      <c r="A82" s="57"/>
      <c r="B82" s="57"/>
      <c r="C82" s="57"/>
      <c r="D82" s="2"/>
      <c r="E82" s="57"/>
      <c r="F82" s="5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2.75" hidden="false" customHeight="true" outlineLevel="0" collapsed="false">
      <c r="A83" s="57"/>
      <c r="B83" s="57"/>
      <c r="C83" s="57"/>
      <c r="D83" s="79"/>
      <c r="E83" s="57"/>
      <c r="F83" s="5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2.75" hidden="false" customHeight="true" outlineLevel="0" collapsed="false">
      <c r="A84" s="57"/>
      <c r="B84" s="57"/>
      <c r="C84" s="57"/>
      <c r="D84" s="57"/>
      <c r="E84" s="57"/>
      <c r="F84" s="5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2.75" hidden="false" customHeight="true" outlineLevel="0" collapsed="false">
      <c r="A85" s="57"/>
      <c r="B85" s="57"/>
      <c r="C85" s="57"/>
      <c r="D85" s="2"/>
      <c r="E85" s="57"/>
      <c r="F85" s="5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2.75" hidden="false" customHeight="true" outlineLevel="0" collapsed="false">
      <c r="A86" s="57"/>
      <c r="B86" s="57"/>
      <c r="C86" s="57"/>
      <c r="D86" s="57"/>
      <c r="E86" s="57"/>
      <c r="F86" s="5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2.75" hidden="false" customHeight="true" outlineLevel="0" collapsed="false">
      <c r="A87" s="2"/>
      <c r="B87" s="57"/>
      <c r="C87" s="57"/>
      <c r="D87" s="57"/>
      <c r="E87" s="57"/>
      <c r="F87" s="5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2.75" hidden="false" customHeight="true" outlineLevel="0" collapsed="false">
      <c r="A88" s="2"/>
      <c r="B88" s="57"/>
      <c r="C88" s="57"/>
      <c r="D88" s="57"/>
      <c r="E88" s="57"/>
      <c r="F88" s="5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2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2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2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2.75" hidden="false" customHeight="true" outlineLevel="0" collapsed="false">
      <c r="A92" s="5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2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2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2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2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2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2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2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2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2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2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</sheetData>
  <conditionalFormatting sqref="F2:F88">
    <cfRule type="cellIs" priority="2" operator="lessThan" aboveAverage="0" equalAverage="0" bottom="0" percent="0" rank="0" text="" dxfId="1">
      <formula>0</formula>
    </cfRule>
  </conditionalFormatting>
  <hyperlinks>
    <hyperlink ref="B2" r:id="rId1" display="AliExpress"/>
    <hyperlink ref="C2" r:id="rId2" display="No 7 X 10PCS"/>
    <hyperlink ref="B3" r:id="rId3" display="https://fr.aliexpress.com/?spm=a2g0o.home.logo.1.864f7065nsY5sf"/>
    <hyperlink ref="C3" r:id="rId4" location="2846%238110%231995&amp;pdp_ext_f=%7B%22order%22:%2232%22,%22eval%22:%221%22,%22sceneId%22:%2230050%22,%22fromPage%22:%22recommend%22%7D&amp;pdp_npi=6@dis!EUR!0.44!0.44!!!3.53!3.52!@211b617b17697621421671313edcc9!12000038391519916!rec!FR!!ABX!1!0!n_tag:-29910;d:9b" display="2.4g antenna x1"/>
    <hyperlink ref="B4" r:id="rId5" display="https://fr.aliexpress.com/?spm=a2g0o.home.logo.1.864f7065nsY5sf"/>
    <hyperlink ref="C4" r:id="rId6" display="TN 3.2 No Touch"/>
    <hyperlink ref="B5" r:id="rId7" display="https://fr.aliexpress.com/?spm=a2g0o.home.logo.1.864f7065nsY5sf"/>
    <hyperlink ref="C5" r:id="rId8" display="For PS4 2PCS"/>
    <hyperlink ref="B6" r:id="rId9" display="https://fr.aliexpress.com/?spm=a2g0o.home.logo.1.864f7065nsY5sf"/>
    <hyperlink ref="C6" r:id="rId10" display="MTS103 Dark Blue"/>
  </hyperlink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&amp;C&amp;K000000ffffffAliExpress</oddHeader>
    <oddFooter>&amp;C&amp;K000000ffffffPage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3"/>
  <sheetViews>
    <sheetView showFormulas="false" showGridLines="fals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F49" activeCellId="0" sqref="F49"/>
    </sheetView>
  </sheetViews>
  <sheetFormatPr defaultColWidth="12.67578125" defaultRowHeight="15" customHeight="true" zeroHeight="false" outlineLevelRow="0" outlineLevelCol="0"/>
  <cols>
    <col collapsed="false" customWidth="true" hidden="false" outlineLevel="0" max="1" min="1" style="1" width="60.85"/>
    <col collapsed="false" customWidth="true" hidden="false" outlineLevel="0" max="2" min="2" style="1" width="16.35"/>
    <col collapsed="false" customWidth="true" hidden="false" outlineLevel="0" max="3" min="3" style="1" width="23.17"/>
    <col collapsed="false" customWidth="true" hidden="false" outlineLevel="0" max="4" min="4" style="1" width="17.85"/>
    <col collapsed="false" customWidth="true" hidden="false" outlineLevel="0" max="5" min="5" style="1" width="10.5"/>
    <col collapsed="false" customWidth="true" hidden="false" outlineLevel="0" max="6" min="6" style="1" width="15.17"/>
    <col collapsed="false" customWidth="true" hidden="false" outlineLevel="0" max="27" min="7" style="1" width="10.5"/>
    <col collapsed="false" customWidth="false" hidden="false" outlineLevel="0" max="16384" min="28" style="1" width="12.67"/>
  </cols>
  <sheetData>
    <row r="1" customFormat="false" ht="13.5" hidden="false" customHeight="true" outlineLevel="0" collapsed="false">
      <c r="A1" s="52" t="s">
        <v>15</v>
      </c>
      <c r="B1" s="53" t="s">
        <v>7</v>
      </c>
      <c r="C1" s="53" t="s">
        <v>16</v>
      </c>
      <c r="D1" s="54" t="s">
        <v>17</v>
      </c>
      <c r="E1" s="54" t="s">
        <v>18</v>
      </c>
      <c r="F1" s="54" t="s">
        <v>19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6.6" hidden="false" customHeight="true" outlineLevel="0" collapsed="false">
      <c r="A2" s="55" t="s">
        <v>32</v>
      </c>
      <c r="B2" s="80" t="s">
        <v>13</v>
      </c>
      <c r="C2" s="80" t="s">
        <v>33</v>
      </c>
      <c r="D2" s="57" t="n">
        <v>1.7187</v>
      </c>
      <c r="E2" s="57" t="n">
        <v>1</v>
      </c>
      <c r="F2" s="58" t="n">
        <f aca="false">D2*E2</f>
        <v>1.7187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6.6" hidden="false" customHeight="true" outlineLevel="0" collapsed="false">
      <c r="A3" s="55" t="s">
        <v>34</v>
      </c>
      <c r="B3" s="81" t="str">
        <f aca="false">B2</f>
        <v>LCSC</v>
      </c>
      <c r="C3" s="80" t="s">
        <v>35</v>
      </c>
      <c r="D3" s="57" t="n">
        <v>0.059</v>
      </c>
      <c r="E3" s="57" t="n">
        <v>10</v>
      </c>
      <c r="F3" s="58" t="n">
        <f aca="false">D3*E3</f>
        <v>0.59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6.6" hidden="false" customHeight="true" outlineLevel="0" collapsed="false">
      <c r="A4" s="55" t="s">
        <v>36</v>
      </c>
      <c r="B4" s="81" t="str">
        <f aca="false">B3</f>
        <v>LCSC</v>
      </c>
      <c r="C4" s="80" t="s">
        <v>37</v>
      </c>
      <c r="D4" s="57" t="n">
        <v>2.0451</v>
      </c>
      <c r="E4" s="57" t="n">
        <v>2</v>
      </c>
      <c r="F4" s="58" t="n">
        <f aca="false">D4*E4</f>
        <v>4.0902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6.6" hidden="false" customHeight="true" outlineLevel="0" collapsed="false">
      <c r="A5" s="55" t="s">
        <v>38</v>
      </c>
      <c r="B5" s="81" t="str">
        <f aca="false">B4</f>
        <v>LCSC</v>
      </c>
      <c r="C5" s="80" t="s">
        <v>39</v>
      </c>
      <c r="D5" s="57" t="n">
        <v>0.7744</v>
      </c>
      <c r="E5" s="57" t="n">
        <v>2</v>
      </c>
      <c r="F5" s="58" t="n">
        <f aca="false">D5*E5</f>
        <v>1.5488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16.6" hidden="false" customHeight="true" outlineLevel="0" collapsed="false">
      <c r="A6" s="55" t="s">
        <v>40</v>
      </c>
      <c r="B6" s="81" t="str">
        <f aca="false">B5</f>
        <v>LCSC</v>
      </c>
      <c r="C6" s="82" t="s">
        <v>41</v>
      </c>
      <c r="D6" s="57" t="n">
        <v>0.0315</v>
      </c>
      <c r="E6" s="57" t="n">
        <v>10</v>
      </c>
      <c r="F6" s="58" t="n">
        <f aca="false">D6*E6</f>
        <v>0.315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16.6" hidden="false" customHeight="true" outlineLevel="0" collapsed="false">
      <c r="A7" s="55" t="s">
        <v>42</v>
      </c>
      <c r="B7" s="81" t="str">
        <f aca="false">B6</f>
        <v>LCSC</v>
      </c>
      <c r="C7" s="80" t="s">
        <v>43</v>
      </c>
      <c r="D7" s="57" t="n">
        <v>0.0315</v>
      </c>
      <c r="E7" s="57" t="n">
        <v>10</v>
      </c>
      <c r="F7" s="58" t="n">
        <f aca="false">D7*E7</f>
        <v>0.315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6.6" hidden="false" customHeight="true" outlineLevel="0" collapsed="false">
      <c r="A8" s="55" t="s">
        <v>44</v>
      </c>
      <c r="B8" s="81" t="str">
        <f aca="false">B7</f>
        <v>LCSC</v>
      </c>
      <c r="C8" s="80" t="s">
        <v>45</v>
      </c>
      <c r="D8" s="57" t="n">
        <v>0.0712</v>
      </c>
      <c r="E8" s="57" t="n">
        <v>5</v>
      </c>
      <c r="F8" s="58" t="n">
        <f aca="false">D8*E8</f>
        <v>0.356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false" ht="16.6" hidden="false" customHeight="true" outlineLevel="0" collapsed="false">
      <c r="A9" s="55" t="s">
        <v>46</v>
      </c>
      <c r="B9" s="81" t="str">
        <f aca="false">B8</f>
        <v>LCSC</v>
      </c>
      <c r="C9" s="80" t="s">
        <v>47</v>
      </c>
      <c r="D9" s="57" t="n">
        <v>0.1058</v>
      </c>
      <c r="E9" s="57" t="n">
        <v>5</v>
      </c>
      <c r="F9" s="58" t="n">
        <f aca="false">D9*E9</f>
        <v>0.529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16.6" hidden="false" customHeight="true" outlineLevel="0" collapsed="false">
      <c r="A10" s="55" t="s">
        <v>48</v>
      </c>
      <c r="B10" s="81" t="str">
        <f aca="false">B9</f>
        <v>LCSC</v>
      </c>
      <c r="C10" s="80" t="s">
        <v>49</v>
      </c>
      <c r="D10" s="57" t="n">
        <v>0.0193</v>
      </c>
      <c r="E10" s="57" t="n">
        <v>20</v>
      </c>
      <c r="F10" s="58" t="n">
        <f aca="false">D10*E10</f>
        <v>0.386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16.6" hidden="false" customHeight="true" outlineLevel="0" collapsed="false">
      <c r="A11" s="55" t="s">
        <v>50</v>
      </c>
      <c r="B11" s="81" t="str">
        <f aca="false">B10</f>
        <v>LCSC</v>
      </c>
      <c r="C11" s="80" t="s">
        <v>51</v>
      </c>
      <c r="D11" s="57" t="n">
        <v>0.0675</v>
      </c>
      <c r="E11" s="57" t="n">
        <v>5</v>
      </c>
      <c r="F11" s="58" t="n">
        <f aca="false">D11*E11</f>
        <v>0.3375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16.6" hidden="false" customHeight="true" outlineLevel="0" collapsed="false">
      <c r="A12" s="55" t="s">
        <v>52</v>
      </c>
      <c r="B12" s="81" t="str">
        <f aca="false">B11</f>
        <v>LCSC</v>
      </c>
      <c r="C12" s="80" t="s">
        <v>53</v>
      </c>
      <c r="D12" s="57" t="n">
        <v>0.004</v>
      </c>
      <c r="E12" s="57" t="n">
        <v>50</v>
      </c>
      <c r="F12" s="58" t="n">
        <f aca="false">D12*E12</f>
        <v>0.2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16.6" hidden="false" customHeight="true" outlineLevel="0" collapsed="false">
      <c r="A13" s="55" t="s">
        <v>54</v>
      </c>
      <c r="B13" s="81" t="str">
        <f aca="false">B12</f>
        <v>LCSC</v>
      </c>
      <c r="C13" s="80" t="s">
        <v>55</v>
      </c>
      <c r="D13" s="57" t="n">
        <v>0.0393</v>
      </c>
      <c r="E13" s="57" t="n">
        <v>10</v>
      </c>
      <c r="F13" s="58" t="n">
        <f aca="false">D13*E13</f>
        <v>0.393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16.6" hidden="false" customHeight="true" outlineLevel="0" collapsed="false">
      <c r="A14" s="55" t="s">
        <v>56</v>
      </c>
      <c r="B14" s="81" t="str">
        <f aca="false">B13</f>
        <v>LCSC</v>
      </c>
      <c r="C14" s="80" t="s">
        <v>57</v>
      </c>
      <c r="D14" s="57" t="n">
        <v>0.0283</v>
      </c>
      <c r="E14" s="57" t="n">
        <v>20</v>
      </c>
      <c r="F14" s="58" t="n">
        <f aca="false">D14*E14</f>
        <v>0.566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16.6" hidden="false" customHeight="true" outlineLevel="0" collapsed="false">
      <c r="A15" s="55" t="s">
        <v>58</v>
      </c>
      <c r="B15" s="81" t="str">
        <f aca="false">B14</f>
        <v>LCSC</v>
      </c>
      <c r="C15" s="80" t="s">
        <v>59</v>
      </c>
      <c r="D15" s="57" t="n">
        <v>0.0479</v>
      </c>
      <c r="E15" s="57" t="n">
        <v>10</v>
      </c>
      <c r="F15" s="58" t="n">
        <f aca="false">D15*E15</f>
        <v>0.479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16.6" hidden="false" customHeight="true" outlineLevel="0" collapsed="false">
      <c r="A16" s="55" t="s">
        <v>60</v>
      </c>
      <c r="B16" s="81" t="str">
        <f aca="false">B14</f>
        <v>LCSC</v>
      </c>
      <c r="C16" s="80" t="s">
        <v>61</v>
      </c>
      <c r="D16" s="57" t="n">
        <v>0.0791</v>
      </c>
      <c r="E16" s="57" t="n">
        <v>5</v>
      </c>
      <c r="F16" s="58" t="n">
        <f aca="false">D16*E16</f>
        <v>0.3955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16.6" hidden="false" customHeight="true" outlineLevel="0" collapsed="false">
      <c r="A17" s="55" t="s">
        <v>62</v>
      </c>
      <c r="B17" s="81" t="str">
        <f aca="false">B14</f>
        <v>LCSC</v>
      </c>
      <c r="C17" s="82" t="s">
        <v>63</v>
      </c>
      <c r="D17" s="57" t="n">
        <v>0.0048</v>
      </c>
      <c r="E17" s="57" t="n">
        <v>10</v>
      </c>
      <c r="F17" s="58" t="n">
        <f aca="false">D17*E17</f>
        <v>0.048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16.6" hidden="false" customHeight="true" outlineLevel="0" collapsed="false">
      <c r="A18" s="55" t="s">
        <v>64</v>
      </c>
      <c r="B18" s="81" t="str">
        <f aca="false">B17</f>
        <v>LCSC</v>
      </c>
      <c r="C18" s="82" t="s">
        <v>65</v>
      </c>
      <c r="D18" s="57" t="n">
        <v>0.0019</v>
      </c>
      <c r="E18" s="57" t="n">
        <v>100</v>
      </c>
      <c r="F18" s="58" t="n">
        <f aca="false">D18*E18</f>
        <v>0.19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16.6" hidden="false" customHeight="true" outlineLevel="0" collapsed="false">
      <c r="A19" s="55" t="s">
        <v>66</v>
      </c>
      <c r="B19" s="81" t="str">
        <f aca="false">B17</f>
        <v>LCSC</v>
      </c>
      <c r="C19" s="82" t="s">
        <v>67</v>
      </c>
      <c r="D19" s="57" t="n">
        <v>0.0119</v>
      </c>
      <c r="E19" s="57" t="n">
        <v>10</v>
      </c>
      <c r="F19" s="58" t="n">
        <f aca="false">D19*E19</f>
        <v>0.119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6.6" hidden="false" customHeight="true" outlineLevel="0" collapsed="false">
      <c r="A20" s="55" t="s">
        <v>68</v>
      </c>
      <c r="B20" s="81" t="str">
        <f aca="false">B18</f>
        <v>LCSC</v>
      </c>
      <c r="C20" s="82" t="s">
        <v>69</v>
      </c>
      <c r="D20" s="57" t="n">
        <v>0.0031</v>
      </c>
      <c r="E20" s="57" t="n">
        <v>50</v>
      </c>
      <c r="F20" s="58" t="n">
        <f aca="false">D20*E20</f>
        <v>0.155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16.6" hidden="false" customHeight="true" outlineLevel="0" collapsed="false">
      <c r="A21" s="55" t="s">
        <v>70</v>
      </c>
      <c r="B21" s="81" t="str">
        <f aca="false">B19</f>
        <v>LCSC</v>
      </c>
      <c r="C21" s="82" t="s">
        <v>71</v>
      </c>
      <c r="D21" s="57" t="n">
        <v>0.0043</v>
      </c>
      <c r="E21" s="57" t="n">
        <v>50</v>
      </c>
      <c r="F21" s="58" t="n">
        <f aca="false">D21*E21</f>
        <v>0.215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6.6" hidden="false" customHeight="true" outlineLevel="0" collapsed="false">
      <c r="A22" s="55" t="s">
        <v>72</v>
      </c>
      <c r="B22" s="81" t="str">
        <f aca="false">B20</f>
        <v>LCSC</v>
      </c>
      <c r="C22" s="82" t="s">
        <v>73</v>
      </c>
      <c r="D22" s="57" t="n">
        <v>0.0093</v>
      </c>
      <c r="E22" s="57" t="n">
        <v>20</v>
      </c>
      <c r="F22" s="58" t="n">
        <f aca="false">D22*E22</f>
        <v>0.186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6.6" hidden="false" customHeight="true" outlineLevel="0" collapsed="false">
      <c r="A23" s="55" t="s">
        <v>74</v>
      </c>
      <c r="B23" s="81" t="str">
        <f aca="false">B21</f>
        <v>LCSC</v>
      </c>
      <c r="C23" s="82" t="s">
        <v>75</v>
      </c>
      <c r="D23" s="57" t="n">
        <v>0.0026</v>
      </c>
      <c r="E23" s="57" t="n">
        <v>100</v>
      </c>
      <c r="F23" s="58" t="n">
        <f aca="false">D23*E23</f>
        <v>0.26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6.6" hidden="false" customHeight="true" outlineLevel="0" collapsed="false">
      <c r="A24" s="55" t="s">
        <v>76</v>
      </c>
      <c r="B24" s="81" t="str">
        <f aca="false">B21</f>
        <v>LCSC</v>
      </c>
      <c r="C24" s="82" t="s">
        <v>77</v>
      </c>
      <c r="D24" s="57" t="n">
        <v>0.0027</v>
      </c>
      <c r="E24" s="57" t="n">
        <v>100</v>
      </c>
      <c r="F24" s="58" t="n">
        <f aca="false">D24*E24</f>
        <v>0.27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6.6" hidden="false" customHeight="true" outlineLevel="0" collapsed="false">
      <c r="A25" s="55" t="s">
        <v>78</v>
      </c>
      <c r="B25" s="81" t="str">
        <f aca="false">B22</f>
        <v>LCSC</v>
      </c>
      <c r="C25" s="82" t="s">
        <v>79</v>
      </c>
      <c r="D25" s="57" t="n">
        <v>0.0023</v>
      </c>
      <c r="E25" s="57" t="n">
        <v>100</v>
      </c>
      <c r="F25" s="58" t="n">
        <f aca="false">D25*E25</f>
        <v>0.23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6.6" hidden="false" customHeight="true" outlineLevel="0" collapsed="false">
      <c r="A26" s="55" t="s">
        <v>80</v>
      </c>
      <c r="B26" s="81" t="str">
        <f aca="false">B23</f>
        <v>LCSC</v>
      </c>
      <c r="C26" s="82" t="s">
        <v>81</v>
      </c>
      <c r="D26" s="57" t="n">
        <v>0.0023</v>
      </c>
      <c r="E26" s="57" t="n">
        <v>100</v>
      </c>
      <c r="F26" s="58" t="n">
        <f aca="false">D26*E26</f>
        <v>0.23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6.6" hidden="false" customHeight="true" outlineLevel="0" collapsed="false">
      <c r="A27" s="55" t="s">
        <v>82</v>
      </c>
      <c r="B27" s="81" t="str">
        <f aca="false">B24</f>
        <v>LCSC</v>
      </c>
      <c r="C27" s="82" t="s">
        <v>83</v>
      </c>
      <c r="D27" s="57" t="n">
        <v>0.0036</v>
      </c>
      <c r="E27" s="57" t="n">
        <v>100</v>
      </c>
      <c r="F27" s="58" t="n">
        <f aca="false">D27*E27</f>
        <v>0.36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6.6" hidden="false" customHeight="true" outlineLevel="0" collapsed="false">
      <c r="A28" s="55" t="s">
        <v>84</v>
      </c>
      <c r="B28" s="81" t="str">
        <f aca="false">B22</f>
        <v>LCSC</v>
      </c>
      <c r="C28" s="82" t="s">
        <v>85</v>
      </c>
      <c r="D28" s="57" t="n">
        <v>0.1507</v>
      </c>
      <c r="E28" s="57" t="n">
        <v>5</v>
      </c>
      <c r="F28" s="58" t="n">
        <f aca="false">D28*E28</f>
        <v>0.7535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6.6" hidden="false" customHeight="true" outlineLevel="0" collapsed="false">
      <c r="A29" s="55" t="s">
        <v>86</v>
      </c>
      <c r="B29" s="81" t="str">
        <f aca="false">B24</f>
        <v>LCSC</v>
      </c>
      <c r="C29" s="82" t="s">
        <v>87</v>
      </c>
      <c r="D29" s="57" t="n">
        <v>0.0008</v>
      </c>
      <c r="E29" s="57" t="n">
        <v>100</v>
      </c>
      <c r="F29" s="58" t="n">
        <f aca="false">D29*E29</f>
        <v>0.08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6.6" hidden="false" customHeight="true" outlineLevel="0" collapsed="false">
      <c r="A30" s="55" t="s">
        <v>88</v>
      </c>
      <c r="B30" s="81" t="str">
        <f aca="false">B24</f>
        <v>LCSC</v>
      </c>
      <c r="C30" s="82" t="s">
        <v>89</v>
      </c>
      <c r="D30" s="57" t="n">
        <v>0.0007</v>
      </c>
      <c r="E30" s="57" t="n">
        <v>100</v>
      </c>
      <c r="F30" s="58" t="n">
        <f aca="false">D30*E30</f>
        <v>0.07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6.6" hidden="false" customHeight="true" outlineLevel="0" collapsed="false">
      <c r="A31" s="55" t="s">
        <v>90</v>
      </c>
      <c r="B31" s="81" t="str">
        <f aca="false">B22</f>
        <v>LCSC</v>
      </c>
      <c r="C31" s="82" t="s">
        <v>91</v>
      </c>
      <c r="D31" s="57" t="n">
        <v>0.0008</v>
      </c>
      <c r="E31" s="57" t="n">
        <v>100</v>
      </c>
      <c r="F31" s="58" t="n">
        <f aca="false">D31*E31</f>
        <v>0.08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6.6" hidden="false" customHeight="true" outlineLevel="0" collapsed="false">
      <c r="A32" s="55" t="s">
        <v>92</v>
      </c>
      <c r="B32" s="81" t="str">
        <f aca="false">B24</f>
        <v>LCSC</v>
      </c>
      <c r="C32" s="82" t="s">
        <v>93</v>
      </c>
      <c r="D32" s="57" t="n">
        <v>0.0009</v>
      </c>
      <c r="E32" s="57" t="n">
        <v>100</v>
      </c>
      <c r="F32" s="58" t="n">
        <f aca="false">D32*E32</f>
        <v>0.09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6.6" hidden="false" customHeight="true" outlineLevel="0" collapsed="false">
      <c r="A33" s="55" t="s">
        <v>94</v>
      </c>
      <c r="B33" s="81" t="str">
        <f aca="false">B31</f>
        <v>LCSC</v>
      </c>
      <c r="C33" s="82" t="s">
        <v>95</v>
      </c>
      <c r="D33" s="57" t="n">
        <v>0.0007</v>
      </c>
      <c r="E33" s="57" t="n">
        <v>100</v>
      </c>
      <c r="F33" s="58" t="n">
        <f aca="false">D33*E33</f>
        <v>0.07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6.6" hidden="false" customHeight="true" outlineLevel="0" collapsed="false">
      <c r="A34" s="55" t="s">
        <v>96</v>
      </c>
      <c r="B34" s="81" t="str">
        <f aca="false">B32</f>
        <v>LCSC</v>
      </c>
      <c r="C34" s="82" t="s">
        <v>97</v>
      </c>
      <c r="D34" s="57" t="n">
        <v>1.3326</v>
      </c>
      <c r="E34" s="57" t="n">
        <v>1</v>
      </c>
      <c r="F34" s="58" t="n">
        <f aca="false">D34*E34</f>
        <v>1.3326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6.6" hidden="false" customHeight="true" outlineLevel="0" collapsed="false">
      <c r="A35" s="55" t="s">
        <v>98</v>
      </c>
      <c r="B35" s="81" t="str">
        <f aca="false">B34</f>
        <v>LCSC</v>
      </c>
      <c r="C35" s="82" t="s">
        <v>99</v>
      </c>
      <c r="D35" s="57" t="n">
        <v>0.0102</v>
      </c>
      <c r="E35" s="57" t="n">
        <v>50</v>
      </c>
      <c r="F35" s="58" t="n">
        <f aca="false">D35*E35</f>
        <v>0.51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6.6" hidden="false" customHeight="true" outlineLevel="0" collapsed="false">
      <c r="A36" s="55" t="s">
        <v>100</v>
      </c>
      <c r="B36" s="81" t="str">
        <f aca="false">B35</f>
        <v>LCSC</v>
      </c>
      <c r="C36" s="82" t="s">
        <v>101</v>
      </c>
      <c r="D36" s="57" t="n">
        <v>0.008</v>
      </c>
      <c r="E36" s="57" t="n">
        <v>50</v>
      </c>
      <c r="F36" s="58" t="n">
        <f aca="false">D36*E36</f>
        <v>0.4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6.6" hidden="false" customHeight="true" outlineLevel="0" collapsed="false">
      <c r="A37" s="55" t="s">
        <v>102</v>
      </c>
      <c r="B37" s="81" t="str">
        <f aca="false">B36</f>
        <v>LCSC</v>
      </c>
      <c r="C37" s="82" t="s">
        <v>103</v>
      </c>
      <c r="D37" s="57" t="n">
        <v>0.0128</v>
      </c>
      <c r="E37" s="57" t="n">
        <v>20</v>
      </c>
      <c r="F37" s="58" t="n">
        <f aca="false">D37*E37</f>
        <v>0.256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6.6" hidden="false" customHeight="true" outlineLevel="0" collapsed="false">
      <c r="A38" s="55" t="s">
        <v>104</v>
      </c>
      <c r="B38" s="81" t="str">
        <f aca="false">B37</f>
        <v>LCSC</v>
      </c>
      <c r="C38" s="82" t="s">
        <v>105</v>
      </c>
      <c r="D38" s="57" t="n">
        <v>0.006</v>
      </c>
      <c r="E38" s="57" t="n">
        <v>100</v>
      </c>
      <c r="F38" s="58" t="n">
        <f aca="false">D38*E38</f>
        <v>0.6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6.6" hidden="false" customHeight="true" outlineLevel="0" collapsed="false">
      <c r="A39" s="55" t="s">
        <v>106</v>
      </c>
      <c r="B39" s="81" t="str">
        <f aca="false">B37</f>
        <v>LCSC</v>
      </c>
      <c r="C39" s="82" t="s">
        <v>107</v>
      </c>
      <c r="D39" s="57" t="n">
        <v>0.1037</v>
      </c>
      <c r="E39" s="57" t="n">
        <v>5</v>
      </c>
      <c r="F39" s="58" t="n">
        <f aca="false">D39*E39</f>
        <v>0.5185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6.6" hidden="false" customHeight="true" outlineLevel="0" collapsed="false">
      <c r="A40" s="55" t="s">
        <v>108</v>
      </c>
      <c r="B40" s="81" t="str">
        <f aca="false">B39</f>
        <v>LCSC</v>
      </c>
      <c r="C40" s="82" t="s">
        <v>109</v>
      </c>
      <c r="D40" s="57" t="n">
        <v>0.0051</v>
      </c>
      <c r="E40" s="57" t="n">
        <v>100</v>
      </c>
      <c r="F40" s="58" t="n">
        <f aca="false">D40*E40</f>
        <v>0.51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6.6" hidden="false" customHeight="true" outlineLevel="0" collapsed="false">
      <c r="A41" s="55" t="s">
        <v>110</v>
      </c>
      <c r="B41" s="81" t="str">
        <f aca="false">B40</f>
        <v>LCSC</v>
      </c>
      <c r="C41" s="82" t="s">
        <v>111</v>
      </c>
      <c r="D41" s="57" t="n">
        <v>0.0049</v>
      </c>
      <c r="E41" s="57" t="n">
        <v>100</v>
      </c>
      <c r="F41" s="58" t="n">
        <f aca="false">D41*E41</f>
        <v>0.49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6.6" hidden="false" customHeight="true" outlineLevel="0" collapsed="false">
      <c r="A42" s="55" t="s">
        <v>112</v>
      </c>
      <c r="B42" s="81" t="str">
        <f aca="false">B41</f>
        <v>LCSC</v>
      </c>
      <c r="C42" s="83" t="s">
        <v>113</v>
      </c>
      <c r="D42" s="57" t="n">
        <v>1.66</v>
      </c>
      <c r="E42" s="57" t="n">
        <v>2</v>
      </c>
      <c r="F42" s="58" t="n">
        <f aca="false">D42*E42</f>
        <v>3.32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6.6" hidden="false" customHeight="true" outlineLevel="0" collapsed="false">
      <c r="A43" s="55" t="s">
        <v>114</v>
      </c>
      <c r="B43" s="81" t="str">
        <f aca="false">B42</f>
        <v>LCSC</v>
      </c>
      <c r="C43" s="83" t="s">
        <v>115</v>
      </c>
      <c r="D43" s="57" t="n">
        <v>0.35</v>
      </c>
      <c r="E43" s="57" t="n">
        <v>2</v>
      </c>
      <c r="F43" s="58" t="n">
        <f aca="false">D43*E43</f>
        <v>0.7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6.6" hidden="false" customHeight="true" outlineLevel="0" collapsed="false">
      <c r="A44" s="55" t="s">
        <v>116</v>
      </c>
      <c r="B44" s="81" t="str">
        <f aca="false">B43</f>
        <v>LCSC</v>
      </c>
      <c r="C44" s="83" t="s">
        <v>117</v>
      </c>
      <c r="D44" s="57" t="n">
        <v>4.05</v>
      </c>
      <c r="E44" s="57" t="n">
        <v>1</v>
      </c>
      <c r="F44" s="58" t="n">
        <f aca="false">D44*E44</f>
        <v>4.05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6.6" hidden="false" customHeight="true" outlineLevel="0" collapsed="false">
      <c r="A45" s="55" t="s">
        <v>118</v>
      </c>
      <c r="B45" s="81" t="str">
        <f aca="false">B44</f>
        <v>LCSC</v>
      </c>
      <c r="C45" s="83" t="s">
        <v>119</v>
      </c>
      <c r="D45" s="57" t="n">
        <v>2.85</v>
      </c>
      <c r="E45" s="57" t="n">
        <v>1</v>
      </c>
      <c r="F45" s="58" t="n">
        <f aca="false">D45*E45</f>
        <v>2.85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6.6" hidden="false" customHeight="true" outlineLevel="0" collapsed="false">
      <c r="A46" s="55"/>
      <c r="B46" s="81"/>
      <c r="C46" s="83"/>
      <c r="D46" s="57"/>
      <c r="E46" s="57"/>
      <c r="F46" s="5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6.6" hidden="false" customHeight="true" outlineLevel="0" collapsed="false">
      <c r="A47" s="57"/>
      <c r="B47" s="84"/>
      <c r="C47" s="2"/>
      <c r="D47" s="57"/>
      <c r="E47" s="57"/>
      <c r="F47" s="58" t="n">
        <f aca="false">D47*E47</f>
        <v>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2.75" hidden="false" customHeight="true" outlineLevel="0" collapsed="false">
      <c r="A48" s="55" t="s">
        <v>30</v>
      </c>
      <c r="B48" s="2"/>
      <c r="C48" s="2"/>
      <c r="D48" s="57"/>
      <c r="E48" s="57"/>
      <c r="F48" s="61" t="n">
        <f aca="false">D48*E48</f>
        <v>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2.75" hidden="false" customHeight="true" outlineLevel="0" collapsed="false">
      <c r="A49" s="57"/>
      <c r="B49" s="57"/>
      <c r="C49" s="57"/>
      <c r="D49" s="57"/>
      <c r="E49" s="62" t="s">
        <v>31</v>
      </c>
      <c r="F49" s="63" t="n">
        <f aca="false">SUM(F2:F47)</f>
        <v>31.1633</v>
      </c>
      <c r="G49" s="6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2.75" hidden="false" customHeight="true" outlineLevel="0" collapsed="false">
      <c r="A50" s="2"/>
      <c r="B50" s="2"/>
      <c r="C50" s="2"/>
      <c r="D50" s="2"/>
      <c r="E50" s="2"/>
      <c r="F50" s="7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2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2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2.75" hidden="false" customHeight="true" outlineLevel="0" collapsed="false">
      <c r="A53" s="5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2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2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2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2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2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2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2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2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2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2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</sheetData>
  <autoFilter ref="A1:F49"/>
  <conditionalFormatting sqref="F2:F49">
    <cfRule type="cellIs" priority="2" operator="lessThan" aboveAverage="0" equalAverage="0" bottom="0" percent="0" rank="0" text="" dxfId="4">
      <formula>0</formula>
    </cfRule>
  </conditionalFormatting>
  <hyperlinks>
    <hyperlink ref="B2" r:id="rId1" display="LCSC"/>
    <hyperlink ref="C2" r:id="rId2" display="C14877"/>
    <hyperlink ref="B3" r:id="rId3" display="https://www.lcsc.com/"/>
    <hyperlink ref="C3" r:id="rId4" display="C13738"/>
    <hyperlink ref="B4" r:id="rId5" display="https://www.lcsc.com/"/>
    <hyperlink ref="C4" r:id="rId6" display="C8791"/>
    <hyperlink ref="B5" r:id="rId7" display="https://www.lcsc.com/"/>
    <hyperlink ref="C5" r:id="rId8" display="C19213"/>
    <hyperlink ref="B6" r:id="rId9" display="https://www.lcsc.com/"/>
    <hyperlink ref="C6" r:id="rId10" display="C347222"/>
    <hyperlink ref="B7" r:id="rId11" display="https://www.lcsc.com/"/>
    <hyperlink ref="C7" r:id="rId12" display="C347223"/>
    <hyperlink ref="B8" r:id="rId13" display="https://www.lcsc.com/"/>
    <hyperlink ref="C8" r:id="rId14" display="C49234121"/>
    <hyperlink ref="B9" r:id="rId15" display="https://www.lcsc.com/"/>
    <hyperlink ref="C9" r:id="rId16" display="C19077684"/>
    <hyperlink ref="B10" r:id="rId17" display="https://www.lcsc.com/"/>
    <hyperlink ref="C10" r:id="rId18" display="C42435492"/>
    <hyperlink ref="B11" r:id="rId19" display="https://www.lcsc.com/"/>
    <hyperlink ref="C11" r:id="rId20" display="C49023767"/>
    <hyperlink ref="B12" r:id="rId21" display="https://www.lcsc.com/"/>
    <hyperlink ref="C12" r:id="rId22" display="C2892681"/>
    <hyperlink ref="B13" r:id="rId23" display="https://www.lcsc.com/"/>
    <hyperlink ref="C13" r:id="rId24" display="C3151830"/>
    <hyperlink ref="B14" r:id="rId25" display="https://www.lcsc.com/"/>
    <hyperlink ref="C14" r:id="rId26" display="C72505"/>
    <hyperlink ref="B15" r:id="rId27" display="https://www.lcsc.com/"/>
    <hyperlink ref="C15" r:id="rId28" display="C89632"/>
    <hyperlink ref="B16" r:id="rId29" display="https://www.lcsc.com/"/>
    <hyperlink ref="C16" r:id="rId30" display="C437557"/>
    <hyperlink ref="B17" r:id="rId31" display="https://www.lcsc.com/"/>
    <hyperlink ref="C17" r:id="rId32" display="C26413"/>
    <hyperlink ref="B18" r:id="rId33" display="https://www.lcsc.com/"/>
    <hyperlink ref="C18" r:id="rId34" display="C14663"/>
    <hyperlink ref="B19" r:id="rId35" display="https://www.lcsc.com/"/>
    <hyperlink ref="C19" r:id="rId36" display="C599735"/>
    <hyperlink ref="B20" r:id="rId37" display="https://www.lcsc.com/"/>
    <hyperlink ref="C20" r:id="rId38" display="C1589"/>
    <hyperlink ref="B21" r:id="rId39" display="https://www.lcsc.com/"/>
    <hyperlink ref="C21" r:id="rId40" display="C1621"/>
    <hyperlink ref="B22" r:id="rId41" display="https://www.lcsc.com/"/>
    <hyperlink ref="C22" r:id="rId42" display="C33353"/>
    <hyperlink ref="B23" r:id="rId43" display="https://www.lcsc.com/"/>
    <hyperlink ref="C23" r:id="rId44" display="C107081"/>
    <hyperlink ref="B24" r:id="rId45" display="https://www.lcsc.com/"/>
    <hyperlink ref="C24" r:id="rId46" display="C107034"/>
    <hyperlink ref="B25" r:id="rId47" display="https://www.lcsc.com/"/>
    <hyperlink ref="C25" r:id="rId48" display="C376772"/>
    <hyperlink ref="B26" r:id="rId49" display="https://www.lcsc.com/"/>
    <hyperlink ref="C26" r:id="rId50" display="C5137611"/>
    <hyperlink ref="B27" r:id="rId51" display="https://www.lcsc.com/"/>
    <hyperlink ref="C27" r:id="rId52" display="C5375816"/>
    <hyperlink ref="B28" r:id="rId53" display="https://www.lcsc.com/"/>
    <hyperlink ref="C28" r:id="rId54" display="C6949223"/>
    <hyperlink ref="B29" r:id="rId55" display="https://www.lcsc.com/"/>
    <hyperlink ref="C29" r:id="rId56" display="C2907128"/>
    <hyperlink ref="B30" r:id="rId57" display="https://www.lcsc.com/"/>
    <hyperlink ref="C30" r:id="rId58" display="C2907124"/>
    <hyperlink ref="B31" r:id="rId59" display="https://www.lcsc.com/"/>
    <hyperlink ref="C31" r:id="rId60" display="C2906982"/>
    <hyperlink ref="B32" r:id="rId61" display="https://www.lcsc.com/"/>
    <hyperlink ref="C32" r:id="rId62" display="C2907022"/>
    <hyperlink ref="B33" r:id="rId63" display="https://www.lcsc.com/"/>
    <hyperlink ref="C33" r:id="rId64" display="C2907113"/>
    <hyperlink ref="B34" r:id="rId65" display="https://www.lcsc.com/"/>
    <hyperlink ref="C34" r:id="rId66" display="C17444183"/>
    <hyperlink ref="B35" r:id="rId67" display="https://www.lcsc.com/"/>
    <hyperlink ref="C35" r:id="rId68" display="C412032"/>
    <hyperlink ref="B36" r:id="rId69" display="https://www.lcsc.com/"/>
    <hyperlink ref="C36" r:id="rId70" display="C964023"/>
    <hyperlink ref="B37" r:id="rId71" display="https://www.lcsc.com/"/>
    <hyperlink ref="C37" r:id="rId72" display="C5252358"/>
    <hyperlink ref="B38" r:id="rId73" display="https://www.lcsc.com/"/>
    <hyperlink ref="C38" r:id="rId74" display="C395082"/>
    <hyperlink ref="B39" r:id="rId75" display="https://www.lcsc.com/"/>
    <hyperlink ref="C39" r:id="rId76" display="C173290"/>
    <hyperlink ref="B40" r:id="rId77" display="https://www.lcsc.com/"/>
    <hyperlink ref="C40" r:id="rId78" display="C19171390"/>
    <hyperlink ref="B41" r:id="rId79" display="https://www.lcsc.com/"/>
    <hyperlink ref="C41" r:id="rId80" display="C19273151"/>
    <hyperlink ref="B42" r:id="rId81" display="https://www.lcsc.com/"/>
    <hyperlink ref="C42" r:id="rId82" display="C614832"/>
    <hyperlink ref="B43" r:id="rId83" display="https://www.lcsc.com/"/>
    <hyperlink ref="C43" r:id="rId84" display="C7661"/>
    <hyperlink ref="B44" r:id="rId85" display="https://www.lcsc.com/"/>
    <hyperlink ref="C44" r:id="rId86" display="C92489"/>
    <hyperlink ref="B45" r:id="rId87" display="https://www.lcsc.com/"/>
    <hyperlink ref="C45" r:id="rId88" display="C9642"/>
  </hyperlinks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&amp;C&amp;K000000ffffffLCSC</oddHeader>
    <oddFooter>&amp;C&amp;K000000ffffffPage &amp;P</oddFooter>
  </headerFooter>
  <drawing r:id="rId8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4" activeCellId="0" sqref="I4"/>
    </sheetView>
  </sheetViews>
  <sheetFormatPr defaultColWidth="10.4921875" defaultRowHeight="12.8" customHeight="true" zeroHeight="false" outlineLevelRow="0" outlineLevelCol="0"/>
  <cols>
    <col collapsed="false" customWidth="true" hidden="false" outlineLevel="0" max="1" min="1" style="0" width="14.34"/>
    <col collapsed="false" customWidth="true" hidden="false" outlineLevel="0" max="2" min="2" style="0" width="13.2"/>
    <col collapsed="false" customWidth="true" hidden="false" outlineLevel="0" max="3" min="3" style="0" width="16.49"/>
    <col collapsed="false" customWidth="true" hidden="false" outlineLevel="0" max="4" min="4" style="0" width="18.52"/>
    <col collapsed="false" customWidth="true" hidden="false" outlineLevel="0" max="5" min="5" style="0" width="10.67"/>
    <col collapsed="false" customWidth="true" hidden="false" outlineLevel="0" max="6" min="6" style="0" width="15.86"/>
  </cols>
  <sheetData>
    <row r="1" customFormat="false" ht="15" hidden="false" customHeight="false" outlineLevel="0" collapsed="false">
      <c r="A1" s="52" t="s">
        <v>15</v>
      </c>
      <c r="B1" s="53" t="s">
        <v>7</v>
      </c>
      <c r="C1" s="53" t="s">
        <v>16</v>
      </c>
      <c r="D1" s="54" t="s">
        <v>17</v>
      </c>
      <c r="E1" s="54" t="s">
        <v>18</v>
      </c>
      <c r="F1" s="54" t="s">
        <v>19</v>
      </c>
    </row>
    <row r="2" customFormat="false" ht="15" hidden="false" customHeight="false" outlineLevel="0" collapsed="false">
      <c r="A2" s="85" t="s">
        <v>120</v>
      </c>
      <c r="B2" s="81" t="s">
        <v>14</v>
      </c>
      <c r="C2" s="86" t="s">
        <v>121</v>
      </c>
      <c r="D2" s="57" t="n">
        <v>7.12</v>
      </c>
      <c r="E2" s="57" t="n">
        <v>1</v>
      </c>
      <c r="F2" s="58" t="n">
        <f aca="false">D2*E2</f>
        <v>7.12</v>
      </c>
    </row>
    <row r="5" customFormat="false" ht="15" hidden="false" customHeight="false" outlineLevel="0" collapsed="false">
      <c r="A5" s="57"/>
      <c r="B5" s="84"/>
      <c r="C5" s="2"/>
      <c r="D5" s="57"/>
      <c r="E5" s="57"/>
      <c r="F5" s="58" t="n">
        <f aca="false">F2</f>
        <v>7.12</v>
      </c>
    </row>
    <row r="6" customFormat="false" ht="15" hidden="false" customHeight="false" outlineLevel="0" collapsed="false">
      <c r="A6" s="55" t="s">
        <v>30</v>
      </c>
      <c r="B6" s="2"/>
      <c r="C6" s="2"/>
      <c r="D6" s="57"/>
      <c r="E6" s="57"/>
      <c r="F6" s="61" t="n">
        <v>0</v>
      </c>
    </row>
    <row r="7" customFormat="false" ht="15" hidden="false" customHeight="false" outlineLevel="0" collapsed="false">
      <c r="A7" s="57"/>
      <c r="B7" s="57"/>
      <c r="C7" s="57"/>
      <c r="D7" s="57"/>
      <c r="E7" s="62" t="s">
        <v>31</v>
      </c>
      <c r="F7" s="63" t="n">
        <f aca="false">F5+F6</f>
        <v>7.12</v>
      </c>
    </row>
    <row r="8" customFormat="false" ht="13.8" hidden="false" customHeight="false" outlineLevel="0" collapsed="false"/>
  </sheetData>
  <conditionalFormatting sqref="F2 F5:F7">
    <cfRule type="cellIs" priority="2" operator="lessThan" aboveAverage="0" equalAverage="0" bottom="0" percent="0" rank="0" text="" dxfId="4">
      <formula>0</formula>
    </cfRule>
  </conditionalFormatting>
  <hyperlinks>
    <hyperlink ref="C2" r:id="rId1" display="523-MICS-681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2026-02-01T14:26:09Z</dcterms:modified>
  <cp:revision>2</cp:revision>
  <dc:subject/>
  <dc:title/>
</cp:coreProperties>
</file>