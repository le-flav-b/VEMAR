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Résumé de l’exportation" sheetId="1" r:id="rId4"/>
    <sheet name="Feuil1" sheetId="2" r:id="rId5"/>
    <sheet name="AliExpress" sheetId="3" r:id="rId6"/>
    <sheet name="LCSC" sheetId="4" r:id="rId7"/>
  </sheets>
</workbook>
</file>

<file path=xl/sharedStrings.xml><?xml version="1.0" encoding="utf-8"?>
<sst xmlns="http://schemas.openxmlformats.org/spreadsheetml/2006/main" uniqueCount="115">
  <si>
    <t>Ce document a été exporté depuis Numbers. Chaque tableau a été converti en feuille de calcul Excel. Tous les autres objets sur chaque feuille Numbers ont été placés sur des feuilles de calcul différentes. Veuillez noter que les calculs de formules peuvent être différents dans Excel.</t>
  </si>
  <si>
    <t>Nom de la feuille Numbers</t>
  </si>
  <si>
    <t>Nom du tableau Numbers</t>
  </si>
  <si>
    <t>Nom de la feuille de calcul Excel</t>
  </si>
  <si>
    <t>Feuil1</t>
  </si>
  <si>
    <t>Tableau 1</t>
  </si>
  <si>
    <t>Date :</t>
  </si>
  <si>
    <t>2026/00/00</t>
  </si>
  <si>
    <t>Pôle :</t>
  </si>
  <si>
    <t>42 Chips</t>
  </si>
  <si>
    <t>Responsable :</t>
  </si>
  <si>
    <t>Robin K.</t>
  </si>
  <si>
    <t>DEMANDE DE DEPENSE</t>
  </si>
  <si>
    <t>Fournisseur</t>
  </si>
  <si>
    <t>TTC</t>
  </si>
  <si>
    <t>Commentaires</t>
  </si>
  <si>
    <t>Validation 42</t>
  </si>
  <si>
    <t>AliExpress</t>
  </si>
  <si>
    <t>Equipements Labelec</t>
  </si>
  <si>
    <t>LCSC</t>
  </si>
  <si>
    <t>Commentaire</t>
  </si>
  <si>
    <t>RefFournisseur</t>
  </si>
  <si>
    <t>PrixUnitaire (TTC)</t>
  </si>
  <si>
    <t>Quantitée</t>
  </si>
  <si>
    <t>PrixTotal (TTC)</t>
  </si>
  <si>
    <t>10Pcs SMA Female Jack Male Plug Adapter</t>
  </si>
  <si>
    <r>
      <rPr>
        <u val="single"/>
        <sz val="12"/>
        <color indexed="17"/>
        <rFont val="Arial"/>
      </rPr>
      <t>AliExpress</t>
    </r>
  </si>
  <si>
    <r>
      <rPr>
        <u val="single"/>
        <sz val="12"/>
        <color indexed="17"/>
        <rFont val="Arial"/>
      </rPr>
      <t>No 7 X 10PCS</t>
    </r>
  </si>
  <si>
    <t>2.4G Wifi Antenna 3dBi Foldable</t>
  </si>
  <si>
    <r>
      <rPr>
        <u val="single"/>
        <sz val="12"/>
        <color indexed="17"/>
        <rFont val="Arial"/>
      </rPr>
      <t>2.4g antenna x1</t>
    </r>
  </si>
  <si>
    <t>3.2 inch TFT LCD display No Touch Module ILI9341</t>
  </si>
  <si>
    <r>
      <rPr>
        <u val="single"/>
        <sz val="12"/>
        <color indexed="17"/>
        <rFont val="Arial"/>
      </rPr>
      <t>TN 3.2 No Touch</t>
    </r>
  </si>
  <si>
    <t>Replacement Hall effect Joystick 3D Analog Sensor ThumbStick</t>
  </si>
  <si>
    <r>
      <rPr>
        <u val="single"/>
        <sz val="12"/>
        <color indexed="17"/>
        <rFont val="Arial"/>
      </rPr>
      <t>For PS4 2PCS</t>
    </r>
  </si>
  <si>
    <t>10Pcs MTS-103 DPDT ON-OFF-ON Toggle Switch</t>
  </si>
  <si>
    <r>
      <rPr>
        <u val="single"/>
        <sz val="12"/>
        <color indexed="17"/>
        <rFont val="Arial"/>
      </rPr>
      <t>MTS103 Dark Blue</t>
    </r>
  </si>
  <si>
    <t>Livraison et expédition</t>
  </si>
  <si>
    <t>Total (TTC)</t>
  </si>
  <si>
    <t>AVR 8 Bit 20MHz 23 TQFP-32(7x7) Microcontrollers RoHS</t>
  </si>
  <si>
    <r>
      <rPr>
        <u val="single"/>
        <sz val="11"/>
        <color indexed="17"/>
        <rFont val="Arial"/>
      </rPr>
      <t>LCSC</t>
    </r>
  </si>
  <si>
    <r>
      <rPr>
        <u val="single"/>
        <sz val="11"/>
        <color indexed="17"/>
        <rFont val="Arial"/>
      </rPr>
      <t>C14877</t>
    </r>
  </si>
  <si>
    <t>YXC Crystal Oscillators X322516MLB4SI</t>
  </si>
  <si>
    <r>
      <rPr>
        <u val="single"/>
        <sz val="11"/>
        <color indexed="17"/>
        <rFont val="Arial"/>
      </rPr>
      <t>C13738</t>
    </r>
  </si>
  <si>
    <t>NORDIC NRF24L01P-R (Transceiver)</t>
  </si>
  <si>
    <r>
      <rPr>
        <u val="single"/>
        <sz val="11"/>
        <color indexed="17"/>
        <rFont val="Arial"/>
      </rPr>
      <t>C8791</t>
    </r>
  </si>
  <si>
    <t>SKYWORKS RFX2401C (RF Front End)</t>
  </si>
  <si>
    <r>
      <rPr>
        <u val="single"/>
        <sz val="11"/>
        <color indexed="17"/>
        <rFont val="Arial"/>
      </rPr>
      <t>C19213</t>
    </r>
  </si>
  <si>
    <t>UMW AMS1117-3.3 (LDO)</t>
  </si>
  <si>
    <r>
      <rPr>
        <u val="single"/>
        <sz val="11"/>
        <color indexed="17"/>
        <rFont val="Arial"/>
      </rPr>
      <t>C347222</t>
    </r>
  </si>
  <si>
    <t>UMW AMS1117-5.0 (LDO)</t>
  </si>
  <si>
    <r>
      <rPr>
        <u val="single"/>
        <sz val="11"/>
        <color indexed="17"/>
        <rFont val="Arial"/>
      </rPr>
      <t>C347223</t>
    </r>
  </si>
  <si>
    <t>hanxia HX-B3U-1000P-1.6N (Tactile Switch)</t>
  </si>
  <si>
    <r>
      <rPr>
        <u val="single"/>
        <sz val="11"/>
        <color indexed="17"/>
        <rFont val="Arial"/>
      </rPr>
      <t>C49234121</t>
    </r>
  </si>
  <si>
    <t>Yuandi TS-1094TS-B3D2-T-Y (Tactile Switch)</t>
  </si>
  <si>
    <r>
      <rPr>
        <u val="single"/>
        <sz val="11"/>
        <color indexed="17"/>
        <rFont val="Arial"/>
      </rPr>
      <t>C19077684</t>
    </r>
  </si>
  <si>
    <t>Khon SC203AD1 (Switch Cap)</t>
  </si>
  <si>
    <r>
      <rPr>
        <u val="single"/>
        <sz val="11"/>
        <color indexed="17"/>
        <rFont val="Arial"/>
      </rPr>
      <t>C42435492</t>
    </r>
  </si>
  <si>
    <t>SHOU HAN MST-12D18G4 SPDT Slide Switch</t>
  </si>
  <si>
    <r>
      <rPr>
        <u val="single"/>
        <sz val="11"/>
        <color indexed="17"/>
        <rFont val="Arial"/>
      </rPr>
      <t>C49023767</t>
    </r>
  </si>
  <si>
    <t>YONGYUTAI 1N4007 (Diode)</t>
  </si>
  <si>
    <r>
      <rPr>
        <u val="single"/>
        <sz val="11"/>
        <color indexed="17"/>
        <rFont val="Arial"/>
      </rPr>
      <t>C2892681</t>
    </r>
  </si>
  <si>
    <t>ROQANG RVT1V101M0605 (Capacitor 100uF)</t>
  </si>
  <si>
    <r>
      <rPr>
        <u val="single"/>
        <sz val="11"/>
        <color indexed="17"/>
        <rFont val="Arial"/>
      </rPr>
      <t>C3151830</t>
    </r>
  </si>
  <si>
    <t>ROQANG RVT1H220M0605 (Capacitor 22uF)</t>
  </si>
  <si>
    <r>
      <rPr>
        <u val="single"/>
        <sz val="11"/>
        <color indexed="17"/>
        <rFont val="Arial"/>
      </rPr>
      <t>C72505</t>
    </r>
  </si>
  <si>
    <t>Samsung Electro-Mechanics CL10A105KP8NNNC (Capacitor 1uF)</t>
  </si>
  <si>
    <r>
      <rPr>
        <u val="single"/>
        <sz val="11"/>
        <color indexed="17"/>
        <rFont val="Arial"/>
      </rPr>
      <t>C26413</t>
    </r>
  </si>
  <si>
    <t>YAGEO CC0603KRX7R9BB104 (Capacitor 100nF)</t>
  </si>
  <si>
    <r>
      <rPr>
        <u val="single"/>
        <sz val="11"/>
        <color indexed="17"/>
        <rFont val="Arial"/>
      </rPr>
      <t>C14663</t>
    </r>
  </si>
  <si>
    <t>KEMET C0603C333K4RAC7867 (Capacitor 33nF)</t>
  </si>
  <si>
    <r>
      <rPr>
        <u val="single"/>
        <sz val="11"/>
        <color indexed="17"/>
        <rFont val="Arial"/>
      </rPr>
      <t>C599735</t>
    </r>
  </si>
  <si>
    <t>Samsung Electro-Mechanics CL10B103KB8NNNC (Capacitor 10 nF)</t>
  </si>
  <si>
    <r>
      <rPr>
        <u val="single"/>
        <sz val="11"/>
        <color indexed="17"/>
        <rFont val="Arial"/>
      </rPr>
      <t>C1589</t>
    </r>
  </si>
  <si>
    <t>Samsung Electro-Mechanics CL10B472KB8NNNC (Capacitor 4.7nF)</t>
  </si>
  <si>
    <r>
      <rPr>
        <u val="single"/>
        <sz val="11"/>
        <color indexed="17"/>
        <rFont val="Arial"/>
      </rPr>
      <t>C1621</t>
    </r>
  </si>
  <si>
    <t>Samsung Electro-Mechanics CL10C222JB8NNNC (Capacitor 2.2nF)</t>
  </si>
  <si>
    <r>
      <rPr>
        <u val="single"/>
        <sz val="11"/>
        <color indexed="17"/>
        <rFont val="Arial"/>
      </rPr>
      <t>C33353</t>
    </r>
  </si>
  <si>
    <t>YAGEO CC0603KRX7R9BB221 (Capacitor 220pF)</t>
  </si>
  <si>
    <r>
      <rPr>
        <u val="single"/>
        <sz val="11"/>
        <color indexed="17"/>
        <rFont val="Arial"/>
      </rPr>
      <t>C107081</t>
    </r>
  </si>
  <si>
    <t>YAGEO CC0603JRNPO9BN120 (Capacitor 12pF)</t>
  </si>
  <si>
    <r>
      <rPr>
        <u val="single"/>
        <sz val="11"/>
        <color indexed="17"/>
        <rFont val="Arial"/>
      </rPr>
      <t>C107034</t>
    </r>
  </si>
  <si>
    <t>CCTC TCC0603COG1R5C500CT (Capacitor 1.5pF)</t>
  </si>
  <si>
    <r>
      <rPr>
        <u val="single"/>
        <sz val="11"/>
        <color indexed="17"/>
        <rFont val="Arial"/>
      </rPr>
      <t>C376772</t>
    </r>
  </si>
  <si>
    <t>FOJAN FCC0603N1R0C500CT (1pF)</t>
  </si>
  <si>
    <r>
      <rPr>
        <u val="single"/>
        <sz val="11"/>
        <color indexed="17"/>
        <rFont val="Arial"/>
      </rPr>
      <t>C5137611</t>
    </r>
  </si>
  <si>
    <t>CCTC TCC0603COG0R3B500CT (Capacitor 0.3pF)</t>
  </si>
  <si>
    <r>
      <rPr>
        <u val="single"/>
        <sz val="11"/>
        <color indexed="17"/>
        <rFont val="Arial"/>
      </rPr>
      <t>C5375816</t>
    </r>
  </si>
  <si>
    <t>YAGEO PA0603FRP070R001L (Resistor 1MΩ)</t>
  </si>
  <si>
    <r>
      <rPr>
        <u val="single"/>
        <sz val="11"/>
        <color indexed="17"/>
        <rFont val="Arial"/>
      </rPr>
      <t>C6949223</t>
    </r>
  </si>
  <si>
    <t>FOJAN FRC0603J223 TS (Resistor 22kΩ)</t>
  </si>
  <si>
    <r>
      <rPr>
        <u val="single"/>
        <sz val="11"/>
        <color indexed="17"/>
        <rFont val="Arial"/>
      </rPr>
      <t>C2907128</t>
    </r>
  </si>
  <si>
    <t>FOJAN FRC0603J203 TS (Resistor 20kΩ)</t>
  </si>
  <si>
    <r>
      <rPr>
        <u val="single"/>
        <sz val="11"/>
        <color indexed="17"/>
        <rFont val="Arial"/>
      </rPr>
      <t>C2907124</t>
    </r>
  </si>
  <si>
    <t>FOJAN FRC0603F1002TS (Resistor 10kΩ)</t>
  </si>
  <si>
    <r>
      <rPr>
        <u val="single"/>
        <sz val="11"/>
        <color indexed="17"/>
        <rFont val="Arial"/>
      </rPr>
      <t>C2906982</t>
    </r>
  </si>
  <si>
    <t>FOJAN FRC0603F2001TS (Resistor 2kΩ)</t>
  </si>
  <si>
    <r>
      <rPr>
        <u val="single"/>
        <sz val="11"/>
        <color indexed="17"/>
        <rFont val="Arial"/>
      </rPr>
      <t>C2907022</t>
    </r>
  </si>
  <si>
    <t>FOJAN FRC0603J102 TS (Resistor 1kΩ)</t>
  </si>
  <si>
    <r>
      <rPr>
        <u val="single"/>
        <sz val="11"/>
        <color indexed="17"/>
        <rFont val="Arial"/>
      </rPr>
      <t>C2907113</t>
    </r>
  </si>
  <si>
    <t>BOURNS PTA4543-2015DPB103 (Slide Potentiometer)</t>
  </si>
  <si>
    <r>
      <rPr>
        <u val="single"/>
        <sz val="11"/>
        <color indexed="17"/>
        <rFont val="Arial"/>
      </rPr>
      <t>C17444183</t>
    </r>
  </si>
  <si>
    <t>Sunltech SCC1608C8N2JSP (Inductor 8.2nH)</t>
  </si>
  <si>
    <r>
      <rPr>
        <u val="single"/>
        <sz val="11"/>
        <color indexed="17"/>
        <rFont val="Arial"/>
      </rPr>
      <t>C412032</t>
    </r>
  </si>
  <si>
    <t>HYHONGYEX HBLS1608-3N9S (Inductor 3.9nH)</t>
  </si>
  <si>
    <r>
      <rPr>
        <u val="single"/>
        <sz val="11"/>
        <color indexed="17"/>
        <rFont val="Arial"/>
      </rPr>
      <t>C964023</t>
    </r>
  </si>
  <si>
    <t>Chilisin BSCH001608082N7S00 (Inductor 2.7nH)</t>
  </si>
  <si>
    <r>
      <rPr>
        <u val="single"/>
        <sz val="11"/>
        <color indexed="17"/>
        <rFont val="Arial"/>
      </rPr>
      <t>C5252358</t>
    </r>
  </si>
  <si>
    <t>FH VHF160808H2N4ST (Inductor 2.4nH)</t>
  </si>
  <si>
    <r>
      <rPr>
        <u val="single"/>
        <sz val="11"/>
        <color indexed="17"/>
        <rFont val="Arial"/>
      </rPr>
      <t>C395082</t>
    </r>
  </si>
  <si>
    <t>muRata LQW18AN2N4C80D (Inductor 2.4nH)</t>
  </si>
  <si>
    <r>
      <rPr>
        <u val="single"/>
        <sz val="11"/>
        <color indexed="17"/>
        <rFont val="Arial"/>
      </rPr>
      <t>C173290</t>
    </r>
  </si>
  <si>
    <t>YONGYUTAI YLED0603R (LED Red)</t>
  </si>
  <si>
    <r>
      <rPr>
        <u val="single"/>
        <sz val="11"/>
        <color indexed="17"/>
        <rFont val="Arial"/>
      </rPr>
      <t>C19171390</t>
    </r>
  </si>
  <si>
    <t>YONGYUTAI YLED0603G (LED Green)</t>
  </si>
  <si>
    <r>
      <rPr>
        <u val="single"/>
        <sz val="11"/>
        <color indexed="17"/>
        <rFont val="Arial"/>
      </rPr>
      <t>C19273151</t>
    </r>
  </si>
</sst>
</file>

<file path=xl/styles.xml><?xml version="1.0" encoding="utf-8"?>
<styleSheet xmlns="http://schemas.openxmlformats.org/spreadsheetml/2006/main">
  <numFmts count="2">
    <numFmt numFmtId="0" formatCode="General"/>
    <numFmt numFmtId="59" formatCode="#,##0.00&quot; &quot;[$€-2];&quot;-&quot;#,##0.00&quot; &quot;[$€-2]"/>
  </numFmts>
  <fonts count="14">
    <font>
      <sz val="11"/>
      <color indexed="8"/>
      <name val="Arial"/>
    </font>
    <font>
      <sz val="12"/>
      <color indexed="8"/>
      <name val="Arial"/>
    </font>
    <font>
      <sz val="14"/>
      <color indexed="8"/>
      <name val="Arial"/>
    </font>
    <font>
      <sz val="12"/>
      <color indexed="8"/>
      <name val="Helvetica Neue"/>
    </font>
    <font>
      <u val="single"/>
      <sz val="12"/>
      <color indexed="11"/>
      <name val="Arial"/>
    </font>
    <font>
      <sz val="15"/>
      <color indexed="8"/>
      <name val="Calibri"/>
    </font>
    <font>
      <b val="1"/>
      <sz val="11"/>
      <color indexed="8"/>
      <name val="Calibri"/>
    </font>
    <font>
      <sz val="11"/>
      <color indexed="8"/>
      <name val="Calibri"/>
    </font>
    <font>
      <b val="1"/>
      <sz val="36"/>
      <color indexed="8"/>
      <name val="Calibri"/>
    </font>
    <font>
      <b val="1"/>
      <sz val="12"/>
      <color indexed="8"/>
      <name val="Arial"/>
    </font>
    <font>
      <u val="single"/>
      <sz val="12"/>
      <color indexed="17"/>
      <name val="Arial"/>
    </font>
    <font>
      <sz val="12"/>
      <color indexed="17"/>
      <name val="Arial"/>
    </font>
    <font>
      <u val="single"/>
      <sz val="11"/>
      <color indexed="11"/>
      <name val="Arial"/>
    </font>
    <font>
      <u val="single"/>
      <sz val="11"/>
      <color indexed="17"/>
      <name val="Arial"/>
    </font>
  </fonts>
  <fills count="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s>
  <borders count="3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12"/>
      </right>
      <top style="medium">
        <color indexed="8"/>
      </top>
      <bottom style="medium">
        <color indexed="8"/>
      </bottom>
      <diagonal/>
    </border>
    <border>
      <left style="thin">
        <color indexed="12"/>
      </left>
      <right style="thin">
        <color indexed="12"/>
      </right>
      <top style="medium">
        <color indexed="8"/>
      </top>
      <bottom style="medium">
        <color indexed="8"/>
      </bottom>
      <diagonal/>
    </border>
    <border>
      <left style="thin">
        <color indexed="12"/>
      </left>
      <right style="medium">
        <color indexed="8"/>
      </right>
      <top style="medium">
        <color indexed="8"/>
      </top>
      <bottom style="medium">
        <color indexed="8"/>
      </bottom>
      <diagonal/>
    </border>
    <border>
      <left style="medium">
        <color indexed="8"/>
      </left>
      <right style="thin">
        <color indexed="12"/>
      </right>
      <top style="thin">
        <color indexed="12"/>
      </top>
      <bottom style="thin">
        <color indexed="12"/>
      </bottom>
      <diagonal/>
    </border>
    <border>
      <left style="medium">
        <color indexed="8"/>
      </left>
      <right style="medium">
        <color indexed="8"/>
      </right>
      <top style="medium">
        <color indexed="8"/>
      </top>
      <bottom/>
      <diagonal/>
    </border>
    <border>
      <left style="medium">
        <color indexed="8"/>
      </left>
      <right style="thin">
        <color indexed="12"/>
      </right>
      <top style="medium">
        <color indexed="8"/>
      </top>
      <bottom/>
      <diagonal/>
    </border>
    <border>
      <left style="thin">
        <color indexed="12"/>
      </left>
      <right style="thin">
        <color indexed="12"/>
      </right>
      <top style="medium">
        <color indexed="8"/>
      </top>
      <bottom/>
      <diagonal/>
    </border>
    <border>
      <left style="thin">
        <color indexed="12"/>
      </left>
      <right style="medium">
        <color indexed="8"/>
      </right>
      <top style="medium">
        <color indexed="8"/>
      </top>
      <bottom/>
      <diagonal/>
    </border>
    <border>
      <left style="medium">
        <color indexed="8"/>
      </left>
      <right style="medium">
        <color indexed="8"/>
      </right>
      <top/>
      <bottom/>
      <diagonal/>
    </border>
    <border>
      <left style="medium">
        <color indexed="8"/>
      </left>
      <right/>
      <top/>
      <bottom/>
      <diagonal/>
    </border>
    <border>
      <left/>
      <right/>
      <top/>
      <bottom/>
      <diagonal/>
    </border>
    <border>
      <left/>
      <right style="medium">
        <color indexed="8"/>
      </right>
      <top/>
      <bottom/>
      <diagonal/>
    </border>
    <border>
      <left style="medium">
        <color indexed="8"/>
      </left>
      <right style="thin">
        <color indexed="12"/>
      </right>
      <top/>
      <bottom/>
      <diagonal/>
    </border>
    <border>
      <left style="thin">
        <color indexed="12"/>
      </left>
      <right style="thin">
        <color indexed="12"/>
      </right>
      <top/>
      <bottom/>
      <diagonal/>
    </border>
    <border>
      <left style="thin">
        <color indexed="12"/>
      </left>
      <right style="medium">
        <color indexed="8"/>
      </right>
      <top/>
      <bottom/>
      <diagonal/>
    </border>
    <border>
      <left style="medium">
        <color indexed="8"/>
      </left>
      <right style="medium">
        <color indexed="8"/>
      </right>
      <top/>
      <bottom style="medium">
        <color indexed="8"/>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2"/>
      </left>
      <right style="thin">
        <color indexed="12"/>
      </right>
      <top style="medium">
        <color indexed="8"/>
      </top>
      <bottom style="thin">
        <color indexed="12"/>
      </bottom>
      <diagonal/>
    </border>
    <border>
      <left style="thin">
        <color indexed="12"/>
      </left>
      <right style="thin">
        <color indexed="12"/>
      </right>
      <top style="thin">
        <color indexed="12"/>
      </top>
      <bottom/>
      <diagonal/>
    </border>
    <border>
      <left style="thin">
        <color indexed="12"/>
      </left>
      <right/>
      <top style="thin">
        <color indexed="12"/>
      </top>
      <bottom style="thin">
        <color indexed="12"/>
      </bottom>
      <diagonal/>
    </border>
    <border>
      <left/>
      <right style="thin">
        <color indexed="12"/>
      </right>
      <top style="thin">
        <color indexed="12"/>
      </top>
      <bottom style="thin">
        <color indexed="12"/>
      </bottom>
      <diagonal/>
    </border>
    <border>
      <left style="thin">
        <color indexed="12"/>
      </left>
      <right style="thin">
        <color indexed="12"/>
      </right>
      <top/>
      <bottom style="thin">
        <color indexed="12"/>
      </bottom>
      <diagonal/>
    </border>
    <border>
      <left style="thin">
        <color indexed="12"/>
      </left>
      <right/>
      <top/>
      <bottom/>
      <diagonal/>
    </border>
    <border>
      <left/>
      <right style="thin">
        <color indexed="12"/>
      </right>
      <top/>
      <bottom/>
      <diagonal/>
    </border>
  </borders>
  <cellStyleXfs count="1">
    <xf numFmtId="0" fontId="0" applyNumberFormat="0" applyFont="1" applyFill="0" applyBorder="0" applyAlignment="1" applyProtection="0">
      <alignment vertical="bottom"/>
    </xf>
  </cellStyleXfs>
  <cellXfs count="96">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49" fontId="6" borderId="1" applyNumberFormat="1" applyFont="1" applyFill="0" applyBorder="1" applyAlignment="1" applyProtection="0">
      <alignment vertical="bottom"/>
    </xf>
    <xf numFmtId="49" fontId="7" borderId="1" applyNumberFormat="1" applyFont="1" applyFill="0" applyBorder="1" applyAlignment="1" applyProtection="0">
      <alignment horizontal="left" vertical="bottom"/>
    </xf>
    <xf numFmtId="49" fontId="7" borderId="1" applyNumberFormat="1" applyFont="1" applyFill="0" applyBorder="1" applyAlignment="1" applyProtection="0">
      <alignment vertical="bottom"/>
    </xf>
    <xf numFmtId="49" fontId="8" borderId="1" applyNumberFormat="1" applyFont="1" applyFill="0" applyBorder="1" applyAlignment="1" applyProtection="0">
      <alignment vertical="bottom"/>
    </xf>
    <xf numFmtId="0" fontId="6"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7" borderId="3" applyNumberFormat="0" applyFont="1" applyFill="0" applyBorder="1" applyAlignment="1" applyProtection="0">
      <alignment vertical="bottom"/>
    </xf>
    <xf numFmtId="49" fontId="6" borderId="4" applyNumberFormat="1" applyFont="1" applyFill="0" applyBorder="1" applyAlignment="1" applyProtection="0">
      <alignment vertical="bottom"/>
    </xf>
    <xf numFmtId="49" fontId="6" borderId="5" applyNumberFormat="1" applyFont="1" applyFill="0" applyBorder="1" applyAlignment="1" applyProtection="0">
      <alignment vertical="bottom"/>
    </xf>
    <xf numFmtId="49" fontId="6" borderId="6" applyNumberFormat="1" applyFont="1" applyFill="0" applyBorder="1" applyAlignment="1" applyProtection="0">
      <alignment vertical="bottom"/>
    </xf>
    <xf numFmtId="49" fontId="6" borderId="3" applyNumberFormat="1" applyFont="1" applyFill="0" applyBorder="1" applyAlignment="1" applyProtection="0">
      <alignment vertical="bottom"/>
    </xf>
    <xf numFmtId="0" fontId="0" borderId="7" applyNumberFormat="0" applyFont="1" applyFill="0" applyBorder="1" applyAlignment="1" applyProtection="0">
      <alignment vertical="bottom"/>
    </xf>
    <xf numFmtId="0" fontId="7" borderId="8" applyNumberFormat="1" applyFont="1" applyFill="0" applyBorder="1" applyAlignment="1" applyProtection="0">
      <alignment horizontal="right" vertical="bottom"/>
    </xf>
    <xf numFmtId="49" fontId="1" borderId="9" applyNumberFormat="1" applyFont="1" applyFill="0" applyBorder="1" applyAlignment="1" applyProtection="0">
      <alignment vertical="bottom"/>
    </xf>
    <xf numFmtId="59" fontId="1" borderId="10" applyNumberFormat="1" applyFont="1" applyFill="0" applyBorder="1" applyAlignment="1" applyProtection="0">
      <alignment horizontal="right" vertical="bottom"/>
    </xf>
    <xf numFmtId="49" fontId="1" borderId="11" applyNumberFormat="1" applyFont="1" applyFill="0" applyBorder="1" applyAlignment="1" applyProtection="0">
      <alignment vertical="bottom"/>
    </xf>
    <xf numFmtId="0" fontId="7" borderId="8" applyNumberFormat="0" applyFont="1" applyFill="0" applyBorder="1" applyAlignment="1" applyProtection="0">
      <alignment vertical="bottom"/>
    </xf>
    <xf numFmtId="0" fontId="7" fillId="4" borderId="12" applyNumberFormat="1" applyFont="1" applyFill="1" applyBorder="1" applyAlignment="1" applyProtection="0">
      <alignment horizontal="right" vertical="bottom"/>
    </xf>
    <xf numFmtId="49" fontId="1" fillId="4" borderId="13" applyNumberFormat="1" applyFont="1" applyFill="1" applyBorder="1" applyAlignment="1" applyProtection="0">
      <alignment vertical="bottom"/>
    </xf>
    <xf numFmtId="59" fontId="1" fillId="5" borderId="14" applyNumberFormat="1" applyFont="1" applyFill="1" applyBorder="1" applyAlignment="1" applyProtection="0">
      <alignment horizontal="right" vertical="bottom"/>
    </xf>
    <xf numFmtId="49" fontId="1" fillId="5" borderId="15" applyNumberFormat="1" applyFont="1" applyFill="1" applyBorder="1" applyAlignment="1" applyProtection="0">
      <alignment vertical="bottom"/>
    </xf>
    <xf numFmtId="0" fontId="7" fillId="4" borderId="12" applyNumberFormat="0" applyFont="1" applyFill="1" applyBorder="1" applyAlignment="1" applyProtection="0">
      <alignment vertical="bottom"/>
    </xf>
    <xf numFmtId="0" fontId="7" borderId="12" applyNumberFormat="1" applyFont="1" applyFill="0" applyBorder="1" applyAlignment="1" applyProtection="0">
      <alignment horizontal="right" vertical="bottom"/>
    </xf>
    <xf numFmtId="0" fontId="1" borderId="16" applyNumberFormat="0" applyFont="1" applyFill="0" applyBorder="1" applyAlignment="1" applyProtection="0">
      <alignment vertical="bottom"/>
    </xf>
    <xf numFmtId="59" fontId="1" borderId="17" applyNumberFormat="1" applyFont="1" applyFill="0" applyBorder="1" applyAlignment="1" applyProtection="0">
      <alignment horizontal="right" vertical="bottom"/>
    </xf>
    <xf numFmtId="0" fontId="1" borderId="18" applyNumberFormat="0" applyFont="1" applyFill="0" applyBorder="1" applyAlignment="1" applyProtection="0">
      <alignment vertical="bottom"/>
    </xf>
    <xf numFmtId="0" fontId="7" borderId="12" applyNumberFormat="0" applyFont="1" applyFill="0" applyBorder="1" applyAlignment="1" applyProtection="0">
      <alignment vertical="bottom"/>
    </xf>
    <xf numFmtId="0" fontId="1" fillId="5" borderId="13" applyNumberFormat="0" applyFont="1" applyFill="1" applyBorder="1" applyAlignment="1" applyProtection="0">
      <alignment vertical="bottom"/>
    </xf>
    <xf numFmtId="0" fontId="1" fillId="5" borderId="15"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0" fontId="0" borderId="12" applyNumberFormat="0" applyFont="1" applyFill="0" applyBorder="1" applyAlignment="1" applyProtection="0">
      <alignment vertical="bottom"/>
    </xf>
    <xf numFmtId="0" fontId="6" borderId="7" applyNumberFormat="0" applyFont="1" applyFill="0" applyBorder="1" applyAlignment="1" applyProtection="0">
      <alignment vertical="bottom"/>
    </xf>
    <xf numFmtId="0" fontId="0" fillId="4" borderId="13" applyNumberFormat="0" applyFont="1" applyFill="1" applyBorder="1" applyAlignment="1" applyProtection="0">
      <alignment vertical="bottom"/>
    </xf>
    <xf numFmtId="0" fontId="0" borderId="16" applyNumberFormat="0" applyFont="1" applyFill="0" applyBorder="1" applyAlignment="1" applyProtection="0">
      <alignment vertical="bottom"/>
    </xf>
    <xf numFmtId="59" fontId="0" borderId="17" applyNumberFormat="1" applyFont="1" applyFill="0" applyBorder="1" applyAlignment="1" applyProtection="0">
      <alignment vertical="bottom"/>
    </xf>
    <xf numFmtId="59" fontId="0" fillId="4" borderId="14" applyNumberFormat="1" applyFont="1" applyFill="1" applyBorder="1" applyAlignment="1" applyProtection="0">
      <alignment vertical="bottom"/>
    </xf>
    <xf numFmtId="0" fontId="0" borderId="17" applyNumberFormat="0" applyFont="1" applyFill="0" applyBorder="1" applyAlignment="1" applyProtection="0">
      <alignment vertical="bottom"/>
    </xf>
    <xf numFmtId="0" fontId="0" borderId="18" applyNumberFormat="0" applyFont="1" applyFill="0"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7" fillId="4" borderId="19" applyNumberFormat="1" applyFont="1" applyFill="1" applyBorder="1" applyAlignment="1" applyProtection="0">
      <alignment horizontal="righ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7" borderId="4" applyNumberFormat="0" applyFont="1" applyFill="0" applyBorder="1" applyAlignment="1" applyProtection="0">
      <alignment vertical="bottom"/>
    </xf>
    <xf numFmtId="59" fontId="7" borderId="5" applyNumberFormat="1" applyFont="1" applyFill="0" applyBorder="1" applyAlignment="1" applyProtection="0">
      <alignment vertical="bottom"/>
    </xf>
    <xf numFmtId="0" fontId="7" borderId="6" applyNumberFormat="0" applyFont="1" applyFill="0" applyBorder="1" applyAlignment="1" applyProtection="0">
      <alignment vertical="bottom"/>
    </xf>
    <xf numFmtId="0" fontId="0" borderId="23" applyNumberFormat="0" applyFont="1" applyFill="0" applyBorder="1" applyAlignment="1" applyProtection="0">
      <alignment vertical="bottom"/>
    </xf>
    <xf numFmtId="0" fontId="0" applyNumberFormat="1" applyFont="1" applyFill="0" applyBorder="0" applyAlignment="1" applyProtection="0">
      <alignment vertical="bottom"/>
    </xf>
    <xf numFmtId="49" fontId="9" fillId="6" borderId="1" applyNumberFormat="1" applyFont="1" applyFill="1" applyBorder="1" applyAlignment="1" applyProtection="0">
      <alignment vertical="center"/>
    </xf>
    <xf numFmtId="49" fontId="9" fillId="6" borderId="1" applyNumberFormat="1" applyFont="1" applyFill="1" applyBorder="1" applyAlignment="1" applyProtection="0">
      <alignment horizontal="left" vertical="center"/>
    </xf>
    <xf numFmtId="49" fontId="9" borderId="1" applyNumberFormat="1" applyFont="1" applyFill="0" applyBorder="1" applyAlignment="1" applyProtection="0">
      <alignment vertical="bottom"/>
    </xf>
    <xf numFmtId="49" fontId="1" borderId="1" applyNumberFormat="1" applyFont="1" applyFill="0" applyBorder="1" applyAlignment="1" applyProtection="0">
      <alignment vertical="bottom"/>
    </xf>
    <xf numFmtId="49" fontId="10" borderId="1" applyNumberFormat="1" applyFont="1" applyFill="0" applyBorder="1" applyAlignment="1" applyProtection="0">
      <alignment vertical="bottom"/>
    </xf>
    <xf numFmtId="49" fontId="4" borderId="1" applyNumberFormat="1" applyFont="1" applyFill="0" applyBorder="1" applyAlignment="1" applyProtection="0">
      <alignment vertical="bottom"/>
    </xf>
    <xf numFmtId="0" fontId="1" borderId="1" applyNumberFormat="1" applyFont="1" applyFill="0" applyBorder="1" applyAlignment="1" applyProtection="0">
      <alignment vertical="bottom"/>
    </xf>
    <xf numFmtId="59" fontId="1" borderId="1" applyNumberFormat="1" applyFont="1" applyFill="0" applyBorder="1" applyAlignment="1" applyProtection="0">
      <alignment vertical="bottom"/>
    </xf>
    <xf numFmtId="0" fontId="1" borderId="1" applyNumberFormat="0" applyFont="1" applyFill="0" applyBorder="1" applyAlignment="1" applyProtection="0">
      <alignment vertical="bottom"/>
    </xf>
    <xf numFmtId="0" fontId="10" borderId="1" applyNumberFormat="0" applyFont="1" applyFill="0" applyBorder="1" applyAlignment="1" applyProtection="0">
      <alignment vertical="bottom"/>
    </xf>
    <xf numFmtId="0" fontId="4" borderId="1" applyNumberFormat="0" applyFont="1" applyFill="0" applyBorder="1" applyAlignment="1" applyProtection="0">
      <alignment vertical="bottom"/>
    </xf>
    <xf numFmtId="0" fontId="11" borderId="1" applyNumberFormat="0" applyFont="1" applyFill="0" applyBorder="1" applyAlignment="1" applyProtection="0">
      <alignment vertical="bottom"/>
    </xf>
    <xf numFmtId="59" fontId="1" borderId="24" applyNumberFormat="1" applyFont="1" applyFill="0" applyBorder="1" applyAlignment="1" applyProtection="0">
      <alignment vertical="bottom"/>
    </xf>
    <xf numFmtId="49" fontId="1" borderId="25" applyNumberFormat="1" applyFont="1" applyFill="0" applyBorder="1" applyAlignment="1" applyProtection="0">
      <alignment vertical="bottom"/>
    </xf>
    <xf numFmtId="59" fontId="1" fillId="7" borderId="14" applyNumberFormat="1" applyFont="1" applyFill="1" applyBorder="1" applyAlignment="1" applyProtection="0">
      <alignment vertical="bottom"/>
    </xf>
    <xf numFmtId="0" fontId="0" borderId="26" applyNumberFormat="0" applyFont="1" applyFill="0" applyBorder="1" applyAlignment="1" applyProtection="0">
      <alignment vertical="bottom"/>
    </xf>
    <xf numFmtId="59" fontId="1" borderId="27" applyNumberFormat="1" applyFont="1" applyFill="0" applyBorder="1" applyAlignment="1" applyProtection="0">
      <alignment vertical="bottom"/>
    </xf>
    <xf numFmtId="0" fontId="1" borderId="1" applyNumberFormat="0" applyFont="1" applyFill="0" applyBorder="1" applyAlignment="1" applyProtection="0">
      <alignment horizontal="right" vertical="bottom"/>
    </xf>
    <xf numFmtId="0" fontId="1" borderId="24" applyNumberFormat="0" applyFont="1" applyFill="0" applyBorder="1" applyAlignment="1" applyProtection="0">
      <alignment vertical="bottom"/>
    </xf>
    <xf numFmtId="0" fontId="11" borderId="24" applyNumberFormat="0" applyFont="1" applyFill="0" applyBorder="1" applyAlignment="1" applyProtection="0">
      <alignment vertical="bottom"/>
    </xf>
    <xf numFmtId="0" fontId="1" borderId="24" applyNumberFormat="0" applyFont="1" applyFill="0" applyBorder="1" applyAlignment="1" applyProtection="0">
      <alignment horizontal="left" vertical="bottom"/>
    </xf>
    <xf numFmtId="0" fontId="0" borderId="24" applyNumberFormat="0" applyFont="1" applyFill="0" applyBorder="1" applyAlignment="1" applyProtection="0">
      <alignment vertical="bottom"/>
    </xf>
    <xf numFmtId="0" fontId="1" borderId="28" applyNumberFormat="0" applyFont="1" applyFill="0" applyBorder="1" applyAlignment="1" applyProtection="0">
      <alignment vertical="bottom"/>
    </xf>
    <xf numFmtId="0" fontId="11" borderId="14" applyNumberFormat="0" applyFont="1" applyFill="0" applyBorder="1" applyAlignment="1" applyProtection="0">
      <alignment vertical="bottom"/>
    </xf>
    <xf numFmtId="0" fontId="1" borderId="14" applyNumberFormat="0" applyFont="1" applyFill="0" applyBorder="1" applyAlignment="1" applyProtection="0">
      <alignment vertical="bottom"/>
    </xf>
    <xf numFmtId="59" fontId="1" borderId="14" applyNumberFormat="1" applyFont="1" applyFill="0" applyBorder="1" applyAlignment="1" applyProtection="0">
      <alignment vertical="bottom"/>
    </xf>
    <xf numFmtId="0" fontId="0" borderId="14" applyNumberFormat="0" applyFont="1" applyFill="0" applyBorder="1" applyAlignment="1" applyProtection="0">
      <alignment vertical="bottom"/>
    </xf>
    <xf numFmtId="0" fontId="0" borderId="29" applyNumberFormat="0" applyFont="1" applyFill="0" applyBorder="1" applyAlignment="1" applyProtection="0">
      <alignment vertical="bottom"/>
    </xf>
    <xf numFmtId="0" fontId="1" borderId="14" applyNumberFormat="0" applyFont="1" applyFill="0" applyBorder="1" applyAlignment="1" applyProtection="0">
      <alignment horizontal="right" vertical="bottom"/>
    </xf>
    <xf numFmtId="0" fontId="1" borderId="27" applyNumberFormat="0" applyFont="1" applyFill="0" applyBorder="1" applyAlignment="1" applyProtection="0">
      <alignment vertical="bottom"/>
    </xf>
    <xf numFmtId="0" fontId="11" borderId="27" applyNumberFormat="0" applyFont="1" applyFill="0" applyBorder="1" applyAlignment="1" applyProtection="0">
      <alignment vertical="bottom"/>
    </xf>
    <xf numFmtId="0" fontId="0" borderId="27" applyNumberFormat="0" applyFont="1" applyFill="0" applyBorder="1" applyAlignment="1" applyProtection="0">
      <alignment vertical="bottom"/>
    </xf>
    <xf numFmtId="59" fontId="1" borderId="1" applyNumberFormat="1" applyFont="1" applyFill="0" applyBorder="1" applyAlignment="1" applyProtection="0">
      <alignment horizontal="right" vertical="bottom"/>
    </xf>
    <xf numFmtId="0" fontId="0" borderId="1" applyNumberFormat="0" applyFont="1" applyFill="0" applyBorder="1" applyAlignment="1" applyProtection="0">
      <alignment horizontal="right" vertical="bottom"/>
    </xf>
    <xf numFmtId="0" fontId="0" applyNumberFormat="1" applyFont="1" applyFill="0" applyBorder="0" applyAlignment="1" applyProtection="0">
      <alignment vertical="bottom"/>
    </xf>
    <xf numFmtId="49" fontId="12" borderId="1" applyNumberFormat="1" applyFont="1" applyFill="0" applyBorder="1" applyAlignment="1" applyProtection="0">
      <alignment vertical="bottom"/>
    </xf>
    <xf numFmtId="49" fontId="0" borderId="1" applyNumberFormat="1" applyFont="1" applyFill="0" applyBorder="1" applyAlignment="1" applyProtection="0">
      <alignment vertical="bottom"/>
    </xf>
    <xf numFmtId="0" fontId="12" borderId="1" applyNumberFormat="0" applyFont="1" applyFill="0" applyBorder="1" applyAlignment="1" applyProtection="0">
      <alignment vertical="bottom"/>
    </xf>
  </cellXfs>
  <cellStyles count="1">
    <cellStyle name="Normal" xfId="0" builtinId="0"/>
  </cellStyles>
  <dxfs count="3">
    <dxf>
      <font>
        <color rgb="ffff0000"/>
      </font>
    </dxf>
    <dxf>
      <font>
        <color rgb="ffff0000"/>
      </font>
    </dxf>
    <dxf>
      <font>
        <color rgb="ffff0000"/>
      </font>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0000"/>
      <rgbColor rgb="ffd8d8d8"/>
      <rgbColor rgb="ffd9d9d9"/>
      <rgbColor rgb="ffffffff"/>
      <rgbColor rgb="ff0563c1"/>
      <rgbColor rgb="ffffff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_rels/drawing1.xml.rels><?xml version="1.0" encoding="UTF-8"?>
<Relationships xmlns="http://schemas.openxmlformats.org/package/2006/relationships"><Relationship Id="rId1" Type="http://schemas.openxmlformats.org/officeDocument/2006/relationships/image" Target="../media/image1.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285750</xdr:colOff>
      <xdr:row>1</xdr:row>
      <xdr:rowOff>47625</xdr:rowOff>
    </xdr:from>
    <xdr:to>
      <xdr:col>1</xdr:col>
      <xdr:colOff>1241425</xdr:colOff>
      <xdr:row>8</xdr:row>
      <xdr:rowOff>47625</xdr:rowOff>
    </xdr:to>
    <xdr:pic>
      <xdr:nvPicPr>
        <xdr:cNvPr id="2" name="Imageimage1.png" descr="Imageimage1.png"/>
        <xdr:cNvPicPr>
          <a:picLocks noChangeAspect="1"/>
        </xdr:cNvPicPr>
      </xdr:nvPicPr>
      <xdr:blipFill>
        <a:blip r:embed="rId1">
          <a:extLst/>
        </a:blip>
        <a:stretch>
          <a:fillRect/>
        </a:stretch>
      </xdr:blipFill>
      <xdr:spPr>
        <a:xfrm>
          <a:off x="285750" y="219075"/>
          <a:ext cx="1666875" cy="1200150"/>
        </a:xfrm>
        <a:prstGeom prst="rect">
          <a:avLst/>
        </a:prstGeom>
        <a:ln w="12700" cap="flat">
          <a:noFill/>
          <a:miter lim="400000"/>
        </a:ln>
        <a:effectLst/>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hyperlink" Target="https://fr.aliexpress.com/?spm=a2g0o.home.logo.1.864f7065nsY5sf" TargetMode="External"/><Relationship Id="rId2" Type="http://schemas.openxmlformats.org/officeDocument/2006/relationships/hyperlink" Target="https://fr.aliexpress.com/item/1005003176364619.html?spm=a2g0o.productlist.main.5.3a61c1b6FDwY9b&amp;algo_pvid=67a3683f-326e-4ab8-adf8-e4f890ed499d&amp;algo_exp_id=67a3683f-326e-4ab8-adf8-e4f890ed499d-4&amp;pdp_ext_f=%7B%22order%22:%22671%22,%22spu_best_type%22:%22service%22,%22eval%22:%221%22,%22fromPage%22:%22search%22%7D&amp;pdp_npi=6@dis!EUR!2.13!2.13!!!17.18!17.18!@211b655217697574511585965ef82c!12000024507231036!sea!FR!0!ABX!1!0!n_tag:-29910;d:9b2b0140;m03_new_user:-29895&amp;curPageLogUid=HWkcFNpJUFog&amp;utparam-url=scene:search%7Cquery_from:%7Cx_object_id:1005003176364619%7C_p_origin_prod:" TargetMode="External"/><Relationship Id="rId3" Type="http://schemas.openxmlformats.org/officeDocument/2006/relationships/hyperlink" Target="https://fr.aliexpress.com/?spm=a2g0o.home.logo.1.864f7065nsY5sf" TargetMode="External"/><Relationship Id="rId4" Type="http://schemas.openxmlformats.org/officeDocument/2006/relationships/hyperlink" Target="https://fr.aliexpress.com/item/1005006814234708.html?spm=a2g0o.detail.pcDetailTopMoreOtherSeller.5.384fe5rge5rgQn&amp;gps-id=pcDetailTopMoreOtherSeller&amp;scm=1007.40050.354490.0&amp;scm_id=1007.40050.354490.0&amp;scm-url=1007.40050.354490.0&amp;pvid=5adfec3e-cbf0-42de-b7f7-57cc07b75990&amp;_t=gps-id:pcDetailTopMoreOtherSeller,scm-url:1007.40050.354490.0,pvid:5adfec3e-cbf0-42de-b7f7-57cc07b75990,tpp_buckets:668#2846%238110%231995&amp;pdp_ext_f=%7B%22order%22:%2232%22,%22eval%22:%221%22,%22sceneId%22:%2230050%22,%22fromPage%22:%22recommend%22%7D&amp;pdp_npi=6@dis!EUR!0.44!0.44!!!3.53!3.52!@211b617b17697621421671313edcc9!12000038391519916!rec!FR!!ABX!1!0!n_tag:-29910;d:9b2b0140;m03_new_user:-29895&amp;utparam-url=scene:pcDetailTopMoreOtherSeller%7Cquery_from:%7Cx_object_id:1005006814234708%7C_p_origin_prod:" TargetMode="External"/><Relationship Id="rId5" Type="http://schemas.openxmlformats.org/officeDocument/2006/relationships/hyperlink" Target="https://fr.aliexpress.com/?spm=a2g0o.home.logo.1.864f7065nsY5sf" TargetMode="External"/><Relationship Id="rId6" Type="http://schemas.openxmlformats.org/officeDocument/2006/relationships/hyperlink" Target="https://fr.aliexpress.com/item/1005007333267197.html?spm=a2g0o.productlist.main.33.2d20504csTVKGL&amp;algo_pvid=49277cee-cc16-4025-9f07-1f0b1d1c6933&amp;algo_exp_id=49277cee-cc16-4025-9f07-1f0b1d1c6933-32&amp;pdp_ext_f=%7B%22order%22:%2217%22,%22eval%22:%221%22,%22fromPage%22:%22search%22%7D&amp;pdp_npi=6@dis!EUR!9.19!9.19!!!74.29!74.29!@210388c917697630831254035e98e7!12000040307108915!sea!FR!0!ABX!1!0!n_tag:-29910;d:9b2b0140;m03_new_user:-29895&amp;curPageLogUid=yzNxoCVVbv6v&amp;utparam-url=scene:search%7Cquery_from:%7Cx_object_id:1005007333267197%7C_p_origin_prod:" TargetMode="External"/><Relationship Id="rId7" Type="http://schemas.openxmlformats.org/officeDocument/2006/relationships/hyperlink" Target="https://fr.aliexpress.com/?spm=a2g0o.home.logo.1.864f7065nsY5sf" TargetMode="External"/><Relationship Id="rId8" Type="http://schemas.openxmlformats.org/officeDocument/2006/relationships/hyperlink" Target="https://fr.aliexpress.com/item/1005008600410715.html?spm=a2g0o.productlist.main.14.e4553a79seQWCn&amp;algo_pvid=0fff7174-f197-4145-b13f-47eb52dd528e&amp;algo_exp_id=0fff7174-f197-4145-b13f-47eb52dd528e-13&amp;pdp_ext_f=%7B%22order%22:%2211182%22,%22eval%22:%221%22,%22fromPage%22:%22search%22%7D&amp;pdp_npi=6@dis!EUR!2.47!2.47!!!19.99!19.99!@210390c917697649035843978e4dd4!12000045901489130!sea!FR!0!ABX!1!0!n_tag:-29910;d:9b2b0140;m03_new_user:-29895&amp;curPageLogUid=tAJVLFTdCsDe&amp;utparam-url=scene:search%7Cquery_from:%7Cx_object_id:1005008600410715%7C_p_origin_prod:" TargetMode="External"/><Relationship Id="rId9" Type="http://schemas.openxmlformats.org/officeDocument/2006/relationships/hyperlink" Target="https://fr.aliexpress.com/?spm=a2g0o.home.logo.1.864f7065nsY5sf" TargetMode="External"/><Relationship Id="rId10" Type="http://schemas.openxmlformats.org/officeDocument/2006/relationships/hyperlink" Target="https://fr.aliexpress.com/item/1005008776985434.html?spm=a2g0o.productlist.main.41.540d1e74NA5uyj&amp;algo_pvid=2bf75a2f-333f-4444-a168-5d377d50d091&amp;algo_exp_id=2bf75a2f-333f-4444-a168-5d377d50d091-38&amp;pdp_ext_f=%7B%22order%22:%22244%22,%22spu_best_type%22:%22service%22,%22eval%22:%221%22,%22fromPage%22:%22search%22%7D&amp;pdp_npi=6@dis!EUR!2.36!2.36!!!19.06!19.06!@211b816617697654593473140e0048!12000046625674701!sea!FR!0!ABX!1!0!n_tag:-29910;d:9b2b0140;m03_new_user:-29895&amp;curPageLogUid=zgFU7L4NS1Nc&amp;utparam-url=scene:search%7Cquery_from:%7Cx_object_id:1005008776985434%7C_p_origin_prod:" TargetMode="External"/></Relationships>

</file>

<file path=xl/worksheets/_rels/sheet4.xml.rels><?xml version="1.0" encoding="UTF-8"?>
<Relationships xmlns="http://schemas.openxmlformats.org/package/2006/relationships"><Relationship Id="rId1" Type="http://schemas.openxmlformats.org/officeDocument/2006/relationships/hyperlink" Target="https://www.lcsc.com/" TargetMode="External"/><Relationship Id="rId2" Type="http://schemas.openxmlformats.org/officeDocument/2006/relationships/hyperlink" Target="https://www.lcsc.com/product-detail/C14877.html?s_z=n_ATmega328P" TargetMode="External"/><Relationship Id="rId3" Type="http://schemas.openxmlformats.org/officeDocument/2006/relationships/hyperlink" Target="https://www.lcsc.com/" TargetMode="External"/><Relationship Id="rId4" Type="http://schemas.openxmlformats.org/officeDocument/2006/relationships/hyperlink" Target="https://www.lcsc.com/product-detail/C13738.html?s_z=n_crystal%252016mhz" TargetMode="External"/><Relationship Id="rId5" Type="http://schemas.openxmlformats.org/officeDocument/2006/relationships/hyperlink" Target="https://www.lcsc.com/" TargetMode="External"/><Relationship Id="rId6" Type="http://schemas.openxmlformats.org/officeDocument/2006/relationships/hyperlink" Target="https://www.lcsc.com/product-detail/C8791.html?s_z=n_nRF24L01" TargetMode="External"/><Relationship Id="rId7" Type="http://schemas.openxmlformats.org/officeDocument/2006/relationships/hyperlink" Target="https://www.lcsc.com/" TargetMode="External"/><Relationship Id="rId8" Type="http://schemas.openxmlformats.org/officeDocument/2006/relationships/hyperlink" Target="https://www.lcsc.com/product-detail/C19213.html?s_z=n_RFX2401C" TargetMode="External"/><Relationship Id="rId9" Type="http://schemas.openxmlformats.org/officeDocument/2006/relationships/hyperlink" Target="https://www.lcsc.com/" TargetMode="External"/><Relationship Id="rId10" Type="http://schemas.openxmlformats.org/officeDocument/2006/relationships/hyperlink" Target="https://www.lcsc.com/product-detail/C347222.html?s_z=n_ams1117" TargetMode="External"/><Relationship Id="rId11" Type="http://schemas.openxmlformats.org/officeDocument/2006/relationships/hyperlink" Target="https://www.lcsc.com/" TargetMode="External"/><Relationship Id="rId12" Type="http://schemas.openxmlformats.org/officeDocument/2006/relationships/hyperlink" Target="https://www.lcsc.com/product-detail/C347223.html?s_z=n_ams1117" TargetMode="External"/><Relationship Id="rId13" Type="http://schemas.openxmlformats.org/officeDocument/2006/relationships/hyperlink" Target="https://www.lcsc.com/" TargetMode="External"/><Relationship Id="rId14" Type="http://schemas.openxmlformats.org/officeDocument/2006/relationships/hyperlink" Target="https://www.lcsc.com/product-detail/C49234121.html?s_z=n_b3u1000p" TargetMode="External"/><Relationship Id="rId15" Type="http://schemas.openxmlformats.org/officeDocument/2006/relationships/hyperlink" Target="https://www.lcsc.com/" TargetMode="External"/><Relationship Id="rId16" Type="http://schemas.openxmlformats.org/officeDocument/2006/relationships/hyperlink" Target="https://www.lcsc.com/product-detail/C19077684.html?s_z=n_switch%2520push%252012mm" TargetMode="External"/><Relationship Id="rId17" Type="http://schemas.openxmlformats.org/officeDocument/2006/relationships/hyperlink" Target="https://www.lcsc.com/" TargetMode="External"/><Relationship Id="rId18" Type="http://schemas.openxmlformats.org/officeDocument/2006/relationships/hyperlink" Target="https://www.lcsc.com/product-detail/C42435492.html?s_z=s_Switches%257CAccessories" TargetMode="External"/><Relationship Id="rId19" Type="http://schemas.openxmlformats.org/officeDocument/2006/relationships/hyperlink" Target="https://www.lcsc.com/" TargetMode="External"/><Relationship Id="rId20" Type="http://schemas.openxmlformats.org/officeDocument/2006/relationships/hyperlink" Target="https://www.lcsc.com/product-detail/C49023767.html?s_z=n_spdt" TargetMode="External"/><Relationship Id="rId21" Type="http://schemas.openxmlformats.org/officeDocument/2006/relationships/hyperlink" Target="https://www.lcsc.com/" TargetMode="External"/><Relationship Id="rId22" Type="http://schemas.openxmlformats.org/officeDocument/2006/relationships/hyperlink" Target="https://www.lcsc.com/product-detail/C2892681.html?s_z=n_1n4007%2520sod123" TargetMode="External"/><Relationship Id="rId23" Type="http://schemas.openxmlformats.org/officeDocument/2006/relationships/hyperlink" Target="https://www.lcsc.com/" TargetMode="External"/><Relationship Id="rId24" Type="http://schemas.openxmlformats.org/officeDocument/2006/relationships/hyperlink" Target="https://www.lcsc.com/product-detail/C3151830.html?s_z=s_Passives%257CCapacitors%257CAluminum%2520Electrolytic%2520Capacitors" TargetMode="External"/><Relationship Id="rId25" Type="http://schemas.openxmlformats.org/officeDocument/2006/relationships/hyperlink" Target="https://www.lcsc.com/" TargetMode="External"/><Relationship Id="rId26" Type="http://schemas.openxmlformats.org/officeDocument/2006/relationships/hyperlink" Target="https://www.lcsc.com/product-detail/C72505.html?s_z=s_Passives%257CCapacitors%257CAluminum%2520Electrolytic%2520Capacitors" TargetMode="External"/><Relationship Id="rId27" Type="http://schemas.openxmlformats.org/officeDocument/2006/relationships/hyperlink" Target="https://www.lcsc.com/" TargetMode="External"/><Relationship Id="rId28" Type="http://schemas.openxmlformats.org/officeDocument/2006/relationships/hyperlink" Target="https://www.lcsc.com/product-detail/C26413.html?s_z=n_capacitor%25201uf%25200603" TargetMode="External"/><Relationship Id="rId29" Type="http://schemas.openxmlformats.org/officeDocument/2006/relationships/hyperlink" Target="https://www.lcsc.com/" TargetMode="External"/><Relationship Id="rId30" Type="http://schemas.openxmlformats.org/officeDocument/2006/relationships/hyperlink" Target="https://www.lcsc.com/product-detail/C14663.html?s_z=n_capacitor%25200603" TargetMode="External"/><Relationship Id="rId31" Type="http://schemas.openxmlformats.org/officeDocument/2006/relationships/hyperlink" Target="https://www.lcsc.com/" TargetMode="External"/><Relationship Id="rId32" Type="http://schemas.openxmlformats.org/officeDocument/2006/relationships/hyperlink" Target="https://www.lcsc.com/product-detail/C599735.html?s_z=n_capacitor%252033nf%25200603" TargetMode="External"/><Relationship Id="rId33" Type="http://schemas.openxmlformats.org/officeDocument/2006/relationships/hyperlink" Target="https://www.lcsc.com/" TargetMode="External"/><Relationship Id="rId34" Type="http://schemas.openxmlformats.org/officeDocument/2006/relationships/hyperlink" Target="https://www.lcsc.com/product-detail/C1589.html?s_z=n_capacitor%252010nf%25200603" TargetMode="External"/><Relationship Id="rId35" Type="http://schemas.openxmlformats.org/officeDocument/2006/relationships/hyperlink" Target="https://www.lcsc.com/" TargetMode="External"/><Relationship Id="rId36" Type="http://schemas.openxmlformats.org/officeDocument/2006/relationships/hyperlink" Target="https://www.lcsc.com/product-detail/C1621.html?s_z=n_capacitor%25204.7nf%25200603" TargetMode="External"/><Relationship Id="rId37" Type="http://schemas.openxmlformats.org/officeDocument/2006/relationships/hyperlink" Target="https://www.lcsc.com/" TargetMode="External"/><Relationship Id="rId38" Type="http://schemas.openxmlformats.org/officeDocument/2006/relationships/hyperlink" Target="https://www.lcsc.com/product-detail/C33353.html?s_z=n_capacitor%25202.2nf%25200603" TargetMode="External"/><Relationship Id="rId39" Type="http://schemas.openxmlformats.org/officeDocument/2006/relationships/hyperlink" Target="https://www.lcsc.com/" TargetMode="External"/><Relationship Id="rId40" Type="http://schemas.openxmlformats.org/officeDocument/2006/relationships/hyperlink" Target="https://www.lcsc.com/product-detail/C107081.html?s_z=n_capacitor%25200603%2520220pf" TargetMode="External"/><Relationship Id="rId41" Type="http://schemas.openxmlformats.org/officeDocument/2006/relationships/hyperlink" Target="https://www.lcsc.com/" TargetMode="External"/><Relationship Id="rId42" Type="http://schemas.openxmlformats.org/officeDocument/2006/relationships/hyperlink" Target="https://www.lcsc.com/product-detail/C107034.html?s_z=n_capacitor%25200603%252012pf" TargetMode="External"/><Relationship Id="rId43" Type="http://schemas.openxmlformats.org/officeDocument/2006/relationships/hyperlink" Target="https://www.lcsc.com/" TargetMode="External"/><Relationship Id="rId44" Type="http://schemas.openxmlformats.org/officeDocument/2006/relationships/hyperlink" Target="https://www.lcsc.com/product-detail/C376772.html?s_z=n_capacitor%25200603%25201.5pf" TargetMode="External"/><Relationship Id="rId45" Type="http://schemas.openxmlformats.org/officeDocument/2006/relationships/hyperlink" Target="https://www.lcsc.com/" TargetMode="External"/><Relationship Id="rId46" Type="http://schemas.openxmlformats.org/officeDocument/2006/relationships/hyperlink" Target="https://www.lcsc.com/product-detail/C5137611.html?s_z=n_capacitor%2520smd%25200603%25201pf" TargetMode="External"/><Relationship Id="rId47" Type="http://schemas.openxmlformats.org/officeDocument/2006/relationships/hyperlink" Target="https://www.lcsc.com/" TargetMode="External"/><Relationship Id="rId48" Type="http://schemas.openxmlformats.org/officeDocument/2006/relationships/hyperlink" Target="https://www.lcsc.com/product-detail/C5375816.html?s_z=n_capacitor%25200603%25200.3pf" TargetMode="External"/><Relationship Id="rId49" Type="http://schemas.openxmlformats.org/officeDocument/2006/relationships/hyperlink" Target="https://www.lcsc.com/" TargetMode="External"/><Relationship Id="rId50" Type="http://schemas.openxmlformats.org/officeDocument/2006/relationships/hyperlink" Target="https://www.lcsc.com/product-detail/C6949223.html?s_z=n_resistor%2520smd%25201m%25200603" TargetMode="External"/><Relationship Id="rId51" Type="http://schemas.openxmlformats.org/officeDocument/2006/relationships/hyperlink" Target="https://www.lcsc.com/" TargetMode="External"/><Relationship Id="rId52" Type="http://schemas.openxmlformats.org/officeDocument/2006/relationships/hyperlink" Target="https://www.lcsc.com/product-detail/C2907128.html?s_z=n_resistor%2520smd%25200603%252022k" TargetMode="External"/><Relationship Id="rId53" Type="http://schemas.openxmlformats.org/officeDocument/2006/relationships/hyperlink" Target="https://www.lcsc.com/" TargetMode="External"/><Relationship Id="rId54" Type="http://schemas.openxmlformats.org/officeDocument/2006/relationships/hyperlink" Target="https://www.lcsc.com/product-detail/C2907124.html?s_z=n_resistor%2520smd%25200603%252020k" TargetMode="External"/><Relationship Id="rId55" Type="http://schemas.openxmlformats.org/officeDocument/2006/relationships/hyperlink" Target="https://www.lcsc.com/" TargetMode="External"/><Relationship Id="rId56" Type="http://schemas.openxmlformats.org/officeDocument/2006/relationships/hyperlink" Target="https://www.lcsc.com/product-detail/C2906982.html?s_z=n_resistor%25200603%252010k" TargetMode="External"/><Relationship Id="rId57" Type="http://schemas.openxmlformats.org/officeDocument/2006/relationships/hyperlink" Target="https://www.lcsc.com/" TargetMode="External"/><Relationship Id="rId58" Type="http://schemas.openxmlformats.org/officeDocument/2006/relationships/hyperlink" Target="https://www.lcsc.com/product-detail/C2907022.html?s_z=n_resistor%25200603%25202k" TargetMode="External"/><Relationship Id="rId59" Type="http://schemas.openxmlformats.org/officeDocument/2006/relationships/hyperlink" Target="https://www.lcsc.com/" TargetMode="External"/><Relationship Id="rId60" Type="http://schemas.openxmlformats.org/officeDocument/2006/relationships/hyperlink" Target="https://www.lcsc.com/product-detail/C2907113.html?s_z=n_resistor%25200603%25201k" TargetMode="External"/><Relationship Id="rId61" Type="http://schemas.openxmlformats.org/officeDocument/2006/relationships/hyperlink" Target="https://www.lcsc.com/" TargetMode="External"/><Relationship Id="rId62" Type="http://schemas.openxmlformats.org/officeDocument/2006/relationships/hyperlink" Target="https://www.lcsc.com/product-detail/C17444183.html" TargetMode="External"/><Relationship Id="rId63" Type="http://schemas.openxmlformats.org/officeDocument/2006/relationships/hyperlink" Target="https://www.lcsc.com/" TargetMode="External"/><Relationship Id="rId64" Type="http://schemas.openxmlformats.org/officeDocument/2006/relationships/hyperlink" Target="https://www.lcsc.com/product-detail/C412032.html?s_z=n_shielded%2520inductor%2520smd%25200603%25208.2nh" TargetMode="External"/><Relationship Id="rId65" Type="http://schemas.openxmlformats.org/officeDocument/2006/relationships/hyperlink" Target="https://www.lcsc.com/" TargetMode="External"/><Relationship Id="rId66" Type="http://schemas.openxmlformats.org/officeDocument/2006/relationships/hyperlink" Target="https://www.lcsc.com/product-detail/C964023.html?s_z=n_inductor%25200603%25203.9nh" TargetMode="External"/><Relationship Id="rId67" Type="http://schemas.openxmlformats.org/officeDocument/2006/relationships/hyperlink" Target="https://www.lcsc.com/" TargetMode="External"/><Relationship Id="rId68" Type="http://schemas.openxmlformats.org/officeDocument/2006/relationships/hyperlink" Target="https://www.lcsc.com/product-detail/C5252358.html?s_z=n_inductor%25200603%25202.7nh" TargetMode="External"/><Relationship Id="rId69" Type="http://schemas.openxmlformats.org/officeDocument/2006/relationships/hyperlink" Target="https://www.lcsc.com/" TargetMode="External"/><Relationship Id="rId70" Type="http://schemas.openxmlformats.org/officeDocument/2006/relationships/hyperlink" Target="https://www.lcsc.com/product-detail/C395082.html?s_z=n_inductor%25200603%25202.4nh" TargetMode="External"/><Relationship Id="rId71" Type="http://schemas.openxmlformats.org/officeDocument/2006/relationships/hyperlink" Target="https://www.lcsc.com/" TargetMode="External"/><Relationship Id="rId72" Type="http://schemas.openxmlformats.org/officeDocument/2006/relationships/hyperlink" Target="https://www.lcsc.com/product-detail/C173290.html?s_z=n_inductor%25200603%25202.4nh" TargetMode="External"/><Relationship Id="rId73" Type="http://schemas.openxmlformats.org/officeDocument/2006/relationships/hyperlink" Target="https://www.lcsc.com/" TargetMode="External"/><Relationship Id="rId74" Type="http://schemas.openxmlformats.org/officeDocument/2006/relationships/hyperlink" Target="https://www.lcsc.com/product-detail/C19171390.html?s_z=n_led%2520smd%25200603" TargetMode="External"/><Relationship Id="rId75" Type="http://schemas.openxmlformats.org/officeDocument/2006/relationships/hyperlink" Target="https://www.lcsc.com/" TargetMode="External"/><Relationship Id="rId76" Type="http://schemas.openxmlformats.org/officeDocument/2006/relationships/hyperlink" Target="https://www.lcsc.com/product-detail/C19273151.html?s_z=n_led%2520smd%25200603"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17</v>
      </c>
      <c r="C11" s="3"/>
      <c r="D11" s="3"/>
    </row>
    <row r="12">
      <c r="B12" s="4"/>
      <c r="C12" t="s" s="4">
        <v>5</v>
      </c>
      <c r="D12" t="s" s="5">
        <v>17</v>
      </c>
    </row>
    <row r="13">
      <c r="B13" t="s" s="3">
        <v>19</v>
      </c>
      <c r="C13" s="3"/>
      <c r="D13" s="3"/>
    </row>
    <row r="14">
      <c r="B14" s="4"/>
      <c r="C14" t="s" s="4">
        <v>5</v>
      </c>
      <c r="D14" t="s" s="5">
        <v>19</v>
      </c>
    </row>
  </sheetData>
  <mergeCells count="1">
    <mergeCell ref="B3:D3"/>
  </mergeCells>
  <hyperlinks>
    <hyperlink ref="D10" location="'Feuil1'!R1C1" tooltip="" display="Feuil1"/>
    <hyperlink ref="D12" location="'AliExpress'!R1C1" tooltip="" display="AliExpress"/>
    <hyperlink ref="D14" location="'LCSC'!R1C1" tooltip="" display="LCSC"/>
  </hyperlinks>
</worksheet>
</file>

<file path=xl/worksheets/sheet2.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2.6667" defaultRowHeight="15" customHeight="1" outlineLevelRow="0" outlineLevelCol="0"/>
  <cols>
    <col min="1" max="1" width="9.35156" style="6" customWidth="1"/>
    <col min="2" max="2" width="32.6719" style="6" customWidth="1"/>
    <col min="3" max="3" width="29.5" style="6" customWidth="1"/>
    <col min="4" max="4" width="46.6719" style="6" customWidth="1"/>
    <col min="5" max="5" width="21.3516" style="6" customWidth="1"/>
    <col min="6" max="6" width="40.6719" style="6" customWidth="1"/>
    <col min="7" max="7" width="25.1719" style="6" customWidth="1"/>
    <col min="8" max="26" width="12.6719" style="6" customWidth="1"/>
    <col min="27" max="16384" width="12.6719" style="6" customWidth="1"/>
  </cols>
  <sheetData>
    <row r="1" ht="13.5" customHeight="1">
      <c r="A1" s="7"/>
      <c r="B1" s="7"/>
      <c r="C1" s="7"/>
      <c r="D1" s="7"/>
      <c r="E1" s="7"/>
      <c r="F1" s="7"/>
      <c r="G1" s="7"/>
      <c r="H1" s="7"/>
      <c r="I1" s="7"/>
      <c r="J1" s="7"/>
      <c r="K1" s="7"/>
      <c r="L1" s="7"/>
      <c r="M1" s="7"/>
      <c r="N1" s="7"/>
      <c r="O1" s="7"/>
      <c r="P1" s="7"/>
      <c r="Q1" s="7"/>
      <c r="R1" s="7"/>
      <c r="S1" s="7"/>
      <c r="T1" s="7"/>
      <c r="U1" s="7"/>
      <c r="V1" s="7"/>
      <c r="W1" s="7"/>
      <c r="X1" s="7"/>
      <c r="Y1" s="7"/>
      <c r="Z1" s="7"/>
    </row>
    <row r="2" ht="13.5" customHeight="1">
      <c r="A2" s="7"/>
      <c r="B2" s="7"/>
      <c r="C2" t="s" s="8">
        <v>6</v>
      </c>
      <c r="D2" t="s" s="9">
        <v>7</v>
      </c>
      <c r="E2" s="7"/>
      <c r="F2" s="7"/>
      <c r="G2" s="7"/>
      <c r="H2" s="7"/>
      <c r="I2" s="7"/>
      <c r="J2" s="7"/>
      <c r="K2" s="7"/>
      <c r="L2" s="7"/>
      <c r="M2" s="7"/>
      <c r="N2" s="7"/>
      <c r="O2" s="7"/>
      <c r="P2" s="7"/>
      <c r="Q2" s="7"/>
      <c r="R2" s="7"/>
      <c r="S2" s="7"/>
      <c r="T2" s="7"/>
      <c r="U2" s="7"/>
      <c r="V2" s="7"/>
      <c r="W2" s="7"/>
      <c r="X2" s="7"/>
      <c r="Y2" s="7"/>
      <c r="Z2" s="7"/>
    </row>
    <row r="3" ht="13.5" customHeight="1">
      <c r="A3" s="7"/>
      <c r="B3" s="7"/>
      <c r="C3" s="7"/>
      <c r="D3" s="7"/>
      <c r="E3" s="7"/>
      <c r="F3" s="7"/>
      <c r="G3" s="7"/>
      <c r="H3" s="7"/>
      <c r="I3" s="7"/>
      <c r="J3" s="7"/>
      <c r="K3" s="7"/>
      <c r="L3" s="7"/>
      <c r="M3" s="7"/>
      <c r="N3" s="7"/>
      <c r="O3" s="7"/>
      <c r="P3" s="7"/>
      <c r="Q3" s="7"/>
      <c r="R3" s="7"/>
      <c r="S3" s="7"/>
      <c r="T3" s="7"/>
      <c r="U3" s="7"/>
      <c r="V3" s="7"/>
      <c r="W3" s="7"/>
      <c r="X3" s="7"/>
      <c r="Y3" s="7"/>
      <c r="Z3" s="7"/>
    </row>
    <row r="4" ht="13.5" customHeight="1">
      <c r="A4" s="7"/>
      <c r="B4" s="7"/>
      <c r="C4" t="s" s="8">
        <v>8</v>
      </c>
      <c r="D4" t="s" s="10">
        <v>9</v>
      </c>
      <c r="E4" s="7"/>
      <c r="F4" s="7"/>
      <c r="G4" s="7"/>
      <c r="H4" s="7"/>
      <c r="I4" s="7"/>
      <c r="J4" s="7"/>
      <c r="K4" s="7"/>
      <c r="L4" s="7"/>
      <c r="M4" s="7"/>
      <c r="N4" s="7"/>
      <c r="O4" s="7"/>
      <c r="P4" s="7"/>
      <c r="Q4" s="7"/>
      <c r="R4" s="7"/>
      <c r="S4" s="7"/>
      <c r="T4" s="7"/>
      <c r="U4" s="7"/>
      <c r="V4" s="7"/>
      <c r="W4" s="7"/>
      <c r="X4" s="7"/>
      <c r="Y4" s="7"/>
      <c r="Z4" s="7"/>
    </row>
    <row r="5" ht="13.5" customHeight="1">
      <c r="A5" s="7"/>
      <c r="B5" s="7"/>
      <c r="C5" t="s" s="8">
        <v>10</v>
      </c>
      <c r="D5" t="s" s="10">
        <v>11</v>
      </c>
      <c r="E5" s="7"/>
      <c r="F5" s="7"/>
      <c r="G5" s="7"/>
      <c r="H5" s="7"/>
      <c r="I5" s="7"/>
      <c r="J5" s="7"/>
      <c r="K5" s="7"/>
      <c r="L5" s="7"/>
      <c r="M5" s="7"/>
      <c r="N5" s="7"/>
      <c r="O5" s="7"/>
      <c r="P5" s="7"/>
      <c r="Q5" s="7"/>
      <c r="R5" s="7"/>
      <c r="S5" s="7"/>
      <c r="T5" s="7"/>
      <c r="U5" s="7"/>
      <c r="V5" s="7"/>
      <c r="W5" s="7"/>
      <c r="X5" s="7"/>
      <c r="Y5" s="7"/>
      <c r="Z5" s="7"/>
    </row>
    <row r="6" ht="13.5" customHeight="1">
      <c r="A6" s="7"/>
      <c r="B6" s="7"/>
      <c r="C6" s="7"/>
      <c r="D6" s="7"/>
      <c r="E6" s="7"/>
      <c r="F6" s="7"/>
      <c r="G6" s="7"/>
      <c r="H6" s="7"/>
      <c r="I6" s="7"/>
      <c r="J6" s="7"/>
      <c r="K6" s="7"/>
      <c r="L6" s="7"/>
      <c r="M6" s="7"/>
      <c r="N6" s="7"/>
      <c r="O6" s="7"/>
      <c r="P6" s="7"/>
      <c r="Q6" s="7"/>
      <c r="R6" s="7"/>
      <c r="S6" s="7"/>
      <c r="T6" s="7"/>
      <c r="U6" s="7"/>
      <c r="V6" s="7"/>
      <c r="W6" s="7"/>
      <c r="X6" s="7"/>
      <c r="Y6" s="7"/>
      <c r="Z6" s="7"/>
    </row>
    <row r="7" ht="13.5" customHeight="1">
      <c r="A7" s="7"/>
      <c r="B7" s="7"/>
      <c r="C7" s="7"/>
      <c r="D7" s="7"/>
      <c r="E7" s="7"/>
      <c r="F7" s="7"/>
      <c r="G7" s="7"/>
      <c r="H7" s="7"/>
      <c r="I7" s="7"/>
      <c r="J7" s="7"/>
      <c r="K7" s="7"/>
      <c r="L7" s="7"/>
      <c r="M7" s="7"/>
      <c r="N7" s="7"/>
      <c r="O7" s="7"/>
      <c r="P7" s="7"/>
      <c r="Q7" s="7"/>
      <c r="R7" s="7"/>
      <c r="S7" s="7"/>
      <c r="T7" s="7"/>
      <c r="U7" s="7"/>
      <c r="V7" s="7"/>
      <c r="W7" s="7"/>
      <c r="X7" s="7"/>
      <c r="Y7" s="7"/>
      <c r="Z7" s="7"/>
    </row>
    <row r="8" ht="13.5" customHeight="1">
      <c r="A8" s="7"/>
      <c r="B8" s="7"/>
      <c r="C8" s="7"/>
      <c r="D8" s="7"/>
      <c r="E8" s="7"/>
      <c r="F8" s="7"/>
      <c r="G8" s="7"/>
      <c r="H8" s="7"/>
      <c r="I8" s="7"/>
      <c r="J8" s="7"/>
      <c r="K8" s="7"/>
      <c r="L8" s="7"/>
      <c r="M8" s="7"/>
      <c r="N8" s="7"/>
      <c r="O8" s="7"/>
      <c r="P8" s="7"/>
      <c r="Q8" s="7"/>
      <c r="R8" s="7"/>
      <c r="S8" s="7"/>
      <c r="T8" s="7"/>
      <c r="U8" s="7"/>
      <c r="V8" s="7"/>
      <c r="W8" s="7"/>
      <c r="X8" s="7"/>
      <c r="Y8" s="7"/>
      <c r="Z8" s="7"/>
    </row>
    <row r="9" ht="15" customHeight="1">
      <c r="A9" s="7"/>
      <c r="B9" s="7"/>
      <c r="C9" t="s" s="11">
        <v>12</v>
      </c>
      <c r="D9" s="7"/>
      <c r="E9" s="7"/>
      <c r="F9" s="7"/>
      <c r="G9" s="7"/>
      <c r="H9" s="7"/>
      <c r="I9" s="7"/>
      <c r="J9" s="7"/>
      <c r="K9" s="7"/>
      <c r="L9" s="7"/>
      <c r="M9" s="7"/>
      <c r="N9" s="7"/>
      <c r="O9" s="7"/>
      <c r="P9" s="7"/>
      <c r="Q9" s="7"/>
      <c r="R9" s="7"/>
      <c r="S9" s="7"/>
      <c r="T9" s="7"/>
      <c r="U9" s="7"/>
      <c r="V9" s="7"/>
      <c r="W9" s="7"/>
      <c r="X9" s="7"/>
      <c r="Y9" s="7"/>
      <c r="Z9" s="7"/>
    </row>
    <row r="10" ht="13.5" customHeight="1">
      <c r="A10" s="7"/>
      <c r="B10" s="7"/>
      <c r="C10" s="7"/>
      <c r="D10" s="7"/>
      <c r="E10" s="12"/>
      <c r="F10" s="7"/>
      <c r="G10" s="7"/>
      <c r="H10" s="7"/>
      <c r="I10" s="7"/>
      <c r="J10" s="7"/>
      <c r="K10" s="7"/>
      <c r="L10" s="7"/>
      <c r="M10" s="7"/>
      <c r="N10" s="7"/>
      <c r="O10" s="7"/>
      <c r="P10" s="7"/>
      <c r="Q10" s="7"/>
      <c r="R10" s="7"/>
      <c r="S10" s="7"/>
      <c r="T10" s="7"/>
      <c r="U10" s="7"/>
      <c r="V10" s="7"/>
      <c r="W10" s="7"/>
      <c r="X10" s="7"/>
      <c r="Y10" s="7"/>
      <c r="Z10" s="7"/>
    </row>
    <row r="11" ht="13.5" customHeight="1">
      <c r="A11" s="13"/>
      <c r="B11" s="13"/>
      <c r="C11" s="13"/>
      <c r="D11" s="13"/>
      <c r="E11" s="13"/>
      <c r="F11" s="7"/>
      <c r="G11" s="7"/>
      <c r="H11" s="7"/>
      <c r="I11" s="7"/>
      <c r="J11" s="7"/>
      <c r="K11" s="7"/>
      <c r="L11" s="7"/>
      <c r="M11" s="7"/>
      <c r="N11" s="7"/>
      <c r="O11" s="7"/>
      <c r="P11" s="7"/>
      <c r="Q11" s="7"/>
      <c r="R11" s="7"/>
      <c r="S11" s="7"/>
      <c r="T11" s="7"/>
      <c r="U11" s="7"/>
      <c r="V11" s="7"/>
      <c r="W11" s="7"/>
      <c r="X11" s="7"/>
      <c r="Y11" s="7"/>
      <c r="Z11" s="7"/>
    </row>
    <row r="12" ht="13.5" customHeight="1">
      <c r="A12" s="14"/>
      <c r="B12" t="s" s="15">
        <v>13</v>
      </c>
      <c r="C12" t="s" s="16">
        <v>14</v>
      </c>
      <c r="D12" t="s" s="17">
        <v>15</v>
      </c>
      <c r="E12" t="s" s="18">
        <v>16</v>
      </c>
      <c r="F12" s="19"/>
      <c r="G12" s="7"/>
      <c r="H12" s="7"/>
      <c r="I12" s="7"/>
      <c r="J12" s="7"/>
      <c r="K12" s="7"/>
      <c r="L12" s="7"/>
      <c r="M12" s="7"/>
      <c r="N12" s="7"/>
      <c r="O12" s="7"/>
      <c r="P12" s="7"/>
      <c r="Q12" s="7"/>
      <c r="R12" s="7"/>
      <c r="S12" s="7"/>
      <c r="T12" s="7"/>
      <c r="U12" s="7"/>
      <c r="V12" s="7"/>
      <c r="W12" s="7"/>
      <c r="X12" s="7"/>
      <c r="Y12" s="7"/>
      <c r="Z12" s="7"/>
    </row>
    <row r="13" ht="13.5" customHeight="1">
      <c r="A13" s="20">
        <v>1</v>
      </c>
      <c r="B13" t="s" s="21">
        <v>17</v>
      </c>
      <c r="C13" s="22">
        <f>'AliExpress'!F10</f>
        <v>21.38</v>
      </c>
      <c r="D13" t="s" s="23">
        <v>18</v>
      </c>
      <c r="E13" s="24"/>
      <c r="F13" s="19"/>
      <c r="G13" s="7"/>
      <c r="H13" s="7"/>
      <c r="I13" s="7"/>
      <c r="J13" s="7"/>
      <c r="K13" s="7"/>
      <c r="L13" s="7"/>
      <c r="M13" s="7"/>
      <c r="N13" s="7"/>
      <c r="O13" s="7"/>
      <c r="P13" s="7"/>
      <c r="Q13" s="7"/>
      <c r="R13" s="7"/>
      <c r="S13" s="7"/>
      <c r="T13" s="7"/>
      <c r="U13" s="7"/>
      <c r="V13" s="7"/>
      <c r="W13" s="7"/>
      <c r="X13" s="7"/>
      <c r="Y13" s="7"/>
      <c r="Z13" s="7"/>
    </row>
    <row r="14" ht="13.5" customHeight="1">
      <c r="A14" s="25">
        <v>2</v>
      </c>
      <c r="B14" t="s" s="26">
        <v>19</v>
      </c>
      <c r="C14" s="27">
        <f>'LCSC'!F42</f>
        <v>19.3688</v>
      </c>
      <c r="D14" t="s" s="28">
        <v>18</v>
      </c>
      <c r="E14" s="29"/>
      <c r="F14" s="19"/>
      <c r="G14" s="7"/>
      <c r="H14" s="7"/>
      <c r="I14" s="7"/>
      <c r="J14" s="7"/>
      <c r="K14" s="7"/>
      <c r="L14" s="7"/>
      <c r="M14" s="7"/>
      <c r="N14" s="7"/>
      <c r="O14" s="7"/>
      <c r="P14" s="7"/>
      <c r="Q14" s="7"/>
      <c r="R14" s="7"/>
      <c r="S14" s="7"/>
      <c r="T14" s="7"/>
      <c r="U14" s="7"/>
      <c r="V14" s="7"/>
      <c r="W14" s="7"/>
      <c r="X14" s="7"/>
      <c r="Y14" s="7"/>
      <c r="Z14" s="7"/>
    </row>
    <row r="15" ht="13.5" customHeight="1">
      <c r="A15" s="30">
        <v>3</v>
      </c>
      <c r="B15" s="31"/>
      <c r="C15" s="32"/>
      <c r="D15" s="33"/>
      <c r="E15" s="34"/>
      <c r="F15" s="19"/>
      <c r="G15" s="7"/>
      <c r="H15" s="7"/>
      <c r="I15" s="7"/>
      <c r="J15" s="7"/>
      <c r="K15" s="7"/>
      <c r="L15" s="7"/>
      <c r="M15" s="7"/>
      <c r="N15" s="7"/>
      <c r="O15" s="7"/>
      <c r="P15" s="7"/>
      <c r="Q15" s="7"/>
      <c r="R15" s="7"/>
      <c r="S15" s="7"/>
      <c r="T15" s="7"/>
      <c r="U15" s="7"/>
      <c r="V15" s="7"/>
      <c r="W15" s="7"/>
      <c r="X15" s="7"/>
      <c r="Y15" s="7"/>
      <c r="Z15" s="7"/>
    </row>
    <row r="16" ht="13.5" customHeight="1">
      <c r="A16" s="25">
        <v>4</v>
      </c>
      <c r="B16" s="35"/>
      <c r="C16" s="27"/>
      <c r="D16" s="36"/>
      <c r="E16" s="37"/>
      <c r="F16" s="19"/>
      <c r="G16" s="7"/>
      <c r="H16" s="7"/>
      <c r="I16" s="7"/>
      <c r="J16" s="7"/>
      <c r="K16" s="7"/>
      <c r="L16" s="7"/>
      <c r="M16" s="7"/>
      <c r="N16" s="7"/>
      <c r="O16" s="7"/>
      <c r="P16" s="7"/>
      <c r="Q16" s="7"/>
      <c r="R16" s="7"/>
      <c r="S16" s="7"/>
      <c r="T16" s="7"/>
      <c r="U16" s="7"/>
      <c r="V16" s="7"/>
      <c r="W16" s="7"/>
      <c r="X16" s="7"/>
      <c r="Y16" s="7"/>
      <c r="Z16" s="7"/>
    </row>
    <row r="17" ht="13.5" customHeight="1">
      <c r="A17" s="30">
        <v>5</v>
      </c>
      <c r="B17" s="31"/>
      <c r="C17" s="32"/>
      <c r="D17" s="33"/>
      <c r="E17" s="38"/>
      <c r="F17" s="39"/>
      <c r="G17" s="12"/>
      <c r="H17" s="7"/>
      <c r="I17" s="7"/>
      <c r="J17" s="7"/>
      <c r="K17" s="7"/>
      <c r="L17" s="7"/>
      <c r="M17" s="7"/>
      <c r="N17" s="7"/>
      <c r="O17" s="7"/>
      <c r="P17" s="7"/>
      <c r="Q17" s="7"/>
      <c r="R17" s="7"/>
      <c r="S17" s="7"/>
      <c r="T17" s="7"/>
      <c r="U17" s="7"/>
      <c r="V17" s="7"/>
      <c r="W17" s="7"/>
      <c r="X17" s="7"/>
      <c r="Y17" s="7"/>
      <c r="Z17" s="7"/>
    </row>
    <row r="18" ht="13.5" customHeight="1">
      <c r="A18" s="25">
        <v>6</v>
      </c>
      <c r="B18" s="40"/>
      <c r="C18" s="27"/>
      <c r="D18" s="36"/>
      <c r="E18" s="37"/>
      <c r="F18" s="19"/>
      <c r="G18" s="7"/>
      <c r="H18" s="7"/>
      <c r="I18" s="7"/>
      <c r="J18" s="7"/>
      <c r="K18" s="7"/>
      <c r="L18" s="7"/>
      <c r="M18" s="7"/>
      <c r="N18" s="7"/>
      <c r="O18" s="7"/>
      <c r="P18" s="7"/>
      <c r="Q18" s="7"/>
      <c r="R18" s="7"/>
      <c r="S18" s="7"/>
      <c r="T18" s="7"/>
      <c r="U18" s="7"/>
      <c r="V18" s="7"/>
      <c r="W18" s="7"/>
      <c r="X18" s="7"/>
      <c r="Y18" s="7"/>
      <c r="Z18" s="7"/>
    </row>
    <row r="19" ht="13.5" customHeight="1">
      <c r="A19" s="30">
        <v>7</v>
      </c>
      <c r="B19" s="41"/>
      <c r="C19" s="42"/>
      <c r="D19" s="33"/>
      <c r="E19" s="38"/>
      <c r="F19" s="19"/>
      <c r="G19" s="7"/>
      <c r="H19" s="7"/>
      <c r="I19" s="7"/>
      <c r="J19" s="7"/>
      <c r="K19" s="7"/>
      <c r="L19" s="7"/>
      <c r="M19" s="7"/>
      <c r="N19" s="7"/>
      <c r="O19" s="7"/>
      <c r="P19" s="7"/>
      <c r="Q19" s="7"/>
      <c r="R19" s="7"/>
      <c r="S19" s="7"/>
      <c r="T19" s="7"/>
      <c r="U19" s="7"/>
      <c r="V19" s="7"/>
      <c r="W19" s="7"/>
      <c r="X19" s="7"/>
      <c r="Y19" s="7"/>
      <c r="Z19" s="7"/>
    </row>
    <row r="20" ht="13.5" customHeight="1">
      <c r="A20" s="25">
        <v>8</v>
      </c>
      <c r="B20" s="40"/>
      <c r="C20" s="43"/>
      <c r="D20" s="36"/>
      <c r="E20" s="37"/>
      <c r="F20" s="19"/>
      <c r="G20" s="7"/>
      <c r="H20" s="7"/>
      <c r="I20" s="7"/>
      <c r="J20" s="7"/>
      <c r="K20" s="7"/>
      <c r="L20" s="7"/>
      <c r="M20" s="7"/>
      <c r="N20" s="7"/>
      <c r="O20" s="7"/>
      <c r="P20" s="7"/>
      <c r="Q20" s="7"/>
      <c r="R20" s="7"/>
      <c r="S20" s="7"/>
      <c r="T20" s="7"/>
      <c r="U20" s="7"/>
      <c r="V20" s="7"/>
      <c r="W20" s="7"/>
      <c r="X20" s="7"/>
      <c r="Y20" s="7"/>
      <c r="Z20" s="7"/>
    </row>
    <row r="21" ht="15.75" customHeight="1">
      <c r="A21" s="30">
        <v>9</v>
      </c>
      <c r="B21" s="41"/>
      <c r="C21" s="44"/>
      <c r="D21" s="45"/>
      <c r="E21" s="38"/>
      <c r="F21" s="19"/>
      <c r="G21" s="7"/>
      <c r="H21" s="7"/>
      <c r="I21" s="7"/>
      <c r="J21" s="7"/>
      <c r="K21" s="7"/>
      <c r="L21" s="7"/>
      <c r="M21" s="7"/>
      <c r="N21" s="7"/>
      <c r="O21" s="7"/>
      <c r="P21" s="7"/>
      <c r="Q21" s="7"/>
      <c r="R21" s="7"/>
      <c r="S21" s="7"/>
      <c r="T21" s="7"/>
      <c r="U21" s="7"/>
      <c r="V21" s="7"/>
      <c r="W21" s="7"/>
      <c r="X21" s="7"/>
      <c r="Y21" s="7"/>
      <c r="Z21" s="7"/>
    </row>
    <row r="22" ht="15.75" customHeight="1">
      <c r="A22" s="25">
        <v>10</v>
      </c>
      <c r="B22" s="40"/>
      <c r="C22" s="46"/>
      <c r="D22" s="47"/>
      <c r="E22" s="37"/>
      <c r="F22" s="19"/>
      <c r="G22" s="7"/>
      <c r="H22" s="7"/>
      <c r="I22" s="7"/>
      <c r="J22" s="7"/>
      <c r="K22" s="7"/>
      <c r="L22" s="7"/>
      <c r="M22" s="7"/>
      <c r="N22" s="7"/>
      <c r="O22" s="7"/>
      <c r="P22" s="7"/>
      <c r="Q22" s="7"/>
      <c r="R22" s="7"/>
      <c r="S22" s="7"/>
      <c r="T22" s="7"/>
      <c r="U22" s="7"/>
      <c r="V22" s="7"/>
      <c r="W22" s="7"/>
      <c r="X22" s="7"/>
      <c r="Y22" s="7"/>
      <c r="Z22" s="7"/>
    </row>
    <row r="23" ht="15.75" customHeight="1">
      <c r="A23" s="30">
        <v>11</v>
      </c>
      <c r="B23" s="41"/>
      <c r="C23" s="44"/>
      <c r="D23" s="45"/>
      <c r="E23" s="38"/>
      <c r="F23" s="19"/>
      <c r="G23" s="7"/>
      <c r="H23" s="7"/>
      <c r="I23" s="7"/>
      <c r="J23" s="7"/>
      <c r="K23" s="7"/>
      <c r="L23" s="7"/>
      <c r="M23" s="7"/>
      <c r="N23" s="7"/>
      <c r="O23" s="7"/>
      <c r="P23" s="7"/>
      <c r="Q23" s="7"/>
      <c r="R23" s="7"/>
      <c r="S23" s="7"/>
      <c r="T23" s="7"/>
      <c r="U23" s="7"/>
      <c r="V23" s="7"/>
      <c r="W23" s="7"/>
      <c r="X23" s="7"/>
      <c r="Y23" s="7"/>
      <c r="Z23" s="7"/>
    </row>
    <row r="24" ht="15.75" customHeight="1">
      <c r="A24" s="25">
        <v>12</v>
      </c>
      <c r="B24" s="40"/>
      <c r="C24" s="46"/>
      <c r="D24" s="47"/>
      <c r="E24" s="37"/>
      <c r="F24" s="19"/>
      <c r="G24" s="7"/>
      <c r="H24" s="7"/>
      <c r="I24" s="7"/>
      <c r="J24" s="7"/>
      <c r="K24" s="7"/>
      <c r="L24" s="7"/>
      <c r="M24" s="7"/>
      <c r="N24" s="7"/>
      <c r="O24" s="7"/>
      <c r="P24" s="7"/>
      <c r="Q24" s="7"/>
      <c r="R24" s="7"/>
      <c r="S24" s="7"/>
      <c r="T24" s="7"/>
      <c r="U24" s="7"/>
      <c r="V24" s="7"/>
      <c r="W24" s="7"/>
      <c r="X24" s="7"/>
      <c r="Y24" s="7"/>
      <c r="Z24" s="7"/>
    </row>
    <row r="25" ht="15.75" customHeight="1">
      <c r="A25" s="30">
        <v>13</v>
      </c>
      <c r="B25" s="41"/>
      <c r="C25" s="44"/>
      <c r="D25" s="45"/>
      <c r="E25" s="38"/>
      <c r="F25" s="19"/>
      <c r="G25" s="7"/>
      <c r="H25" s="7"/>
      <c r="I25" s="7"/>
      <c r="J25" s="7"/>
      <c r="K25" s="7"/>
      <c r="L25" s="7"/>
      <c r="M25" s="7"/>
      <c r="N25" s="7"/>
      <c r="O25" s="7"/>
      <c r="P25" s="7"/>
      <c r="Q25" s="7"/>
      <c r="R25" s="7"/>
      <c r="S25" s="7"/>
      <c r="T25" s="7"/>
      <c r="U25" s="7"/>
      <c r="V25" s="7"/>
      <c r="W25" s="7"/>
      <c r="X25" s="7"/>
      <c r="Y25" s="7"/>
      <c r="Z25" s="7"/>
    </row>
    <row r="26" ht="15.75" customHeight="1">
      <c r="A26" s="25">
        <v>14</v>
      </c>
      <c r="B26" s="40"/>
      <c r="C26" s="46"/>
      <c r="D26" s="47"/>
      <c r="E26" s="37"/>
      <c r="F26" s="19"/>
      <c r="G26" s="7"/>
      <c r="H26" s="7"/>
      <c r="I26" s="7"/>
      <c r="J26" s="7"/>
      <c r="K26" s="7"/>
      <c r="L26" s="7"/>
      <c r="M26" s="7"/>
      <c r="N26" s="7"/>
      <c r="O26" s="7"/>
      <c r="P26" s="7"/>
      <c r="Q26" s="7"/>
      <c r="R26" s="7"/>
      <c r="S26" s="7"/>
      <c r="T26" s="7"/>
      <c r="U26" s="7"/>
      <c r="V26" s="7"/>
      <c r="W26" s="7"/>
      <c r="X26" s="7"/>
      <c r="Y26" s="7"/>
      <c r="Z26" s="7"/>
    </row>
    <row r="27" ht="15.75" customHeight="1">
      <c r="A27" s="30">
        <v>15</v>
      </c>
      <c r="B27" s="41"/>
      <c r="C27" s="44"/>
      <c r="D27" s="45"/>
      <c r="E27" s="38"/>
      <c r="F27" s="19"/>
      <c r="G27" s="7"/>
      <c r="H27" s="7"/>
      <c r="I27" s="7"/>
      <c r="J27" s="7"/>
      <c r="K27" s="7"/>
      <c r="L27" s="7"/>
      <c r="M27" s="7"/>
      <c r="N27" s="7"/>
      <c r="O27" s="7"/>
      <c r="P27" s="7"/>
      <c r="Q27" s="7"/>
      <c r="R27" s="7"/>
      <c r="S27" s="7"/>
      <c r="T27" s="7"/>
      <c r="U27" s="7"/>
      <c r="V27" s="7"/>
      <c r="W27" s="7"/>
      <c r="X27" s="7"/>
      <c r="Y27" s="7"/>
      <c r="Z27" s="7"/>
    </row>
    <row r="28" ht="15.75" customHeight="1">
      <c r="A28" s="25">
        <v>16</v>
      </c>
      <c r="B28" s="40"/>
      <c r="C28" s="46"/>
      <c r="D28" s="47"/>
      <c r="E28" s="37"/>
      <c r="F28" s="19"/>
      <c r="G28" s="7"/>
      <c r="H28" s="7"/>
      <c r="I28" s="7"/>
      <c r="J28" s="7"/>
      <c r="K28" s="7"/>
      <c r="L28" s="7"/>
      <c r="M28" s="7"/>
      <c r="N28" s="7"/>
      <c r="O28" s="7"/>
      <c r="P28" s="7"/>
      <c r="Q28" s="7"/>
      <c r="R28" s="7"/>
      <c r="S28" s="7"/>
      <c r="T28" s="7"/>
      <c r="U28" s="7"/>
      <c r="V28" s="7"/>
      <c r="W28" s="7"/>
      <c r="X28" s="7"/>
      <c r="Y28" s="7"/>
      <c r="Z28" s="7"/>
    </row>
    <row r="29" ht="15.75" customHeight="1">
      <c r="A29" s="30">
        <v>17</v>
      </c>
      <c r="B29" s="41"/>
      <c r="C29" s="44"/>
      <c r="D29" s="45"/>
      <c r="E29" s="38"/>
      <c r="F29" s="19"/>
      <c r="G29" s="7"/>
      <c r="H29" s="7"/>
      <c r="I29" s="7"/>
      <c r="J29" s="7"/>
      <c r="K29" s="7"/>
      <c r="L29" s="7"/>
      <c r="M29" s="7"/>
      <c r="N29" s="7"/>
      <c r="O29" s="7"/>
      <c r="P29" s="7"/>
      <c r="Q29" s="7"/>
      <c r="R29" s="7"/>
      <c r="S29" s="7"/>
      <c r="T29" s="7"/>
      <c r="U29" s="7"/>
      <c r="V29" s="7"/>
      <c r="W29" s="7"/>
      <c r="X29" s="7"/>
      <c r="Y29" s="7"/>
      <c r="Z29" s="7"/>
    </row>
    <row r="30" ht="15.75" customHeight="1">
      <c r="A30" s="25">
        <v>18</v>
      </c>
      <c r="B30" s="40"/>
      <c r="C30" s="46"/>
      <c r="D30" s="47"/>
      <c r="E30" s="37"/>
      <c r="F30" s="19"/>
      <c r="G30" s="7"/>
      <c r="H30" s="7"/>
      <c r="I30" s="7"/>
      <c r="J30" s="7"/>
      <c r="K30" s="7"/>
      <c r="L30" s="7"/>
      <c r="M30" s="7"/>
      <c r="N30" s="7"/>
      <c r="O30" s="7"/>
      <c r="P30" s="7"/>
      <c r="Q30" s="7"/>
      <c r="R30" s="7"/>
      <c r="S30" s="7"/>
      <c r="T30" s="7"/>
      <c r="U30" s="7"/>
      <c r="V30" s="7"/>
      <c r="W30" s="7"/>
      <c r="X30" s="7"/>
      <c r="Y30" s="7"/>
      <c r="Z30" s="7"/>
    </row>
    <row r="31" ht="15.75" customHeight="1">
      <c r="A31" s="30">
        <v>19</v>
      </c>
      <c r="B31" s="41"/>
      <c r="C31" s="44"/>
      <c r="D31" s="45"/>
      <c r="E31" s="38"/>
      <c r="F31" s="19"/>
      <c r="G31" s="7"/>
      <c r="H31" s="7"/>
      <c r="I31" s="7"/>
      <c r="J31" s="7"/>
      <c r="K31" s="7"/>
      <c r="L31" s="7"/>
      <c r="M31" s="7"/>
      <c r="N31" s="7"/>
      <c r="O31" s="7"/>
      <c r="P31" s="7"/>
      <c r="Q31" s="7"/>
      <c r="R31" s="7"/>
      <c r="S31" s="7"/>
      <c r="T31" s="7"/>
      <c r="U31" s="7"/>
      <c r="V31" s="7"/>
      <c r="W31" s="7"/>
      <c r="X31" s="7"/>
      <c r="Y31" s="7"/>
      <c r="Z31" s="7"/>
    </row>
    <row r="32" ht="15.75" customHeight="1">
      <c r="A32" s="48">
        <v>20</v>
      </c>
      <c r="B32" s="49"/>
      <c r="C32" s="50"/>
      <c r="D32" s="51"/>
      <c r="E32" s="52"/>
      <c r="F32" s="19"/>
      <c r="G32" s="7"/>
      <c r="H32" s="7"/>
      <c r="I32" s="7"/>
      <c r="J32" s="7"/>
      <c r="K32" s="7"/>
      <c r="L32" s="7"/>
      <c r="M32" s="7"/>
      <c r="N32" s="7"/>
      <c r="O32" s="7"/>
      <c r="P32" s="7"/>
      <c r="Q32" s="7"/>
      <c r="R32" s="7"/>
      <c r="S32" s="7"/>
      <c r="T32" s="7"/>
      <c r="U32" s="7"/>
      <c r="V32" s="7"/>
      <c r="W32" s="7"/>
      <c r="X32" s="7"/>
      <c r="Y32" s="7"/>
      <c r="Z32" s="7"/>
    </row>
    <row r="33" ht="15.75" customHeight="1">
      <c r="A33" s="14"/>
      <c r="B33" s="53"/>
      <c r="C33" s="54">
        <f>SUM(C13:C32)</f>
        <v>40.7488</v>
      </c>
      <c r="D33" s="55"/>
      <c r="E33" s="14"/>
      <c r="F33" s="19"/>
      <c r="G33" s="7"/>
      <c r="H33" s="7"/>
      <c r="I33" s="7"/>
      <c r="J33" s="7"/>
      <c r="K33" s="7"/>
      <c r="L33" s="7"/>
      <c r="M33" s="7"/>
      <c r="N33" s="7"/>
      <c r="O33" s="7"/>
      <c r="P33" s="7"/>
      <c r="Q33" s="7"/>
      <c r="R33" s="7"/>
      <c r="S33" s="7"/>
      <c r="T33" s="7"/>
      <c r="U33" s="7"/>
      <c r="V33" s="7"/>
      <c r="W33" s="7"/>
      <c r="X33" s="7"/>
      <c r="Y33" s="7"/>
      <c r="Z33" s="7"/>
    </row>
    <row r="34" ht="15.75" customHeight="1">
      <c r="A34" s="56"/>
      <c r="B34" s="56"/>
      <c r="C34" s="56"/>
      <c r="D34" s="56"/>
      <c r="E34" s="56"/>
      <c r="F34" s="7"/>
      <c r="G34" s="7"/>
      <c r="H34" s="7"/>
      <c r="I34" s="7"/>
      <c r="J34" s="7"/>
      <c r="K34" s="7"/>
      <c r="L34" s="7"/>
      <c r="M34" s="7"/>
      <c r="N34" s="7"/>
      <c r="O34" s="7"/>
      <c r="P34" s="7"/>
      <c r="Q34" s="7"/>
      <c r="R34" s="7"/>
      <c r="S34" s="7"/>
      <c r="T34" s="7"/>
      <c r="U34" s="7"/>
      <c r="V34" s="7"/>
      <c r="W34" s="7"/>
      <c r="X34" s="7"/>
      <c r="Y34" s="7"/>
      <c r="Z34" s="7"/>
    </row>
    <row r="35"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5.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5.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5.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5.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5.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5.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5.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5.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5.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5.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5.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5.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5.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5.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5.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5.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5.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5.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5.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5.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5.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5.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5.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5.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5.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5.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5.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5.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5.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5.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5.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5.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5.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5.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5.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5.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5.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5.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5.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5.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5.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5.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5.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5.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5.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5.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5.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5.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5.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5.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5.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5.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5.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5.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5.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5.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5.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5.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5.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5.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5.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5.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5.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5.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5.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5.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5.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5.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5.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5.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5.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5.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5.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5.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5.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5.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5.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5.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5.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5.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5.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5.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5.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5.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5.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5.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5.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5.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5.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5.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5.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5.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5.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5.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5.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5.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5.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5.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5.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5.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5.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5.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5.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5.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5.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5.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5.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5.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5.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5.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5.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5.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5.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5.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5.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5.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5.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5.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5.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5.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5.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5.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5.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5.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5.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5.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5.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5.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5.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5.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5.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5.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5.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5.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5.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5.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5.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5.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5.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5.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5.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5.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5.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5.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5.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5.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5.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5.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5.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5.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5.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5.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5.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5.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5.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5.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5.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5.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5.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5.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5.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5.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5.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5.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5.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3.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3.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3.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3.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3.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3.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3.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3.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3.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3.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3.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3.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3.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3.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3.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3.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3.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3.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3.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3.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3.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3.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3.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3.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3.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3.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3.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3.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3.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3.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3.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3.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3.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3.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3.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3.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3.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3.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3.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3.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3.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3.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3.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3.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3.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3.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3.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3.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3.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3.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3.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3.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3.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3.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3.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3.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3.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3.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3.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3.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3.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3.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3.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3.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3.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3.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3.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3.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3.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3.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3.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3.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3.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3.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3.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3.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3.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3.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3.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3.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3.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3.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3.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3.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3.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3.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3.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3.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3.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3.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3.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3.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3.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3.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3.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3.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3.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3.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3.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3.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3.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3.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3.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3.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3.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3.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3.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3.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3.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3.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3.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3.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3.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3.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3.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3.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3.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3.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3.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3.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3.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3.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3.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3.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3.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3.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3.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3.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3.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3.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3.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3.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3.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3.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3.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3.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3.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3.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3.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3.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3.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3.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3.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3.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3.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3.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3.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3.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3.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3.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3.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3.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3.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3.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3.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3.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3.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3.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3.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3.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3.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3.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3.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3.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3.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3.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3.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3.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3.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3.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3.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3.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3.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3.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3.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3.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3.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3.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3.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3.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3.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3.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3.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3.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3.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3.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3.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3.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3.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3.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3.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3.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3.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3.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3.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3.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3.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3.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3.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3.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3.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3.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3.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3.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3.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3.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3.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3.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3.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3.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3.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3.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3.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3.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3.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3.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3.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3.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3.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3.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3.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3.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3.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3.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3.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3.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3.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3.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3.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3.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3.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3.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3.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3.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3.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3.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3.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3.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3.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3.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3.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3.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3.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3.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3.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3.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3.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3.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3.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3.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3.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3.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3.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3.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3.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3.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3.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3.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3.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3.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3.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3.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3.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3.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3.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3.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3.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3.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3.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3.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3.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3.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3.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3.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3.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3.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3.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3.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3.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3.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3.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3.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3.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3.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3.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3.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3.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3.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3.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3.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3.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3.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3.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3.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3.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3.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3.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3.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3.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3.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3.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3.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3.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3.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3.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3.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3.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3.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3.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3.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3.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3.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3.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3.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3.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3.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3.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3.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3.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3.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3.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3.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3.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3.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3.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3.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3.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3.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3.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3.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3.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3.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3.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3.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3.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3.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3.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3.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3.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3.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3.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3.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3.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3.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3.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3.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3.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3.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3.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3.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3.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3.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3.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3.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3.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3.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3.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3.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3.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3.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3.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3.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3.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3.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3.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3.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3.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3.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3.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3.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3.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3.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3.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3.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3.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3.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3.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3.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3.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3.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3.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3.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3.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3.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3.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3.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3.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3.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3.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3.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3.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3.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3.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3.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3.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3.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3.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3.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3.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3.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3.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3.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3.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3.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3.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3.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3.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3.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3.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3.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3.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3.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3.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3.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3.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3.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3.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3.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3.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3.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3.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3.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3.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3.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3.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3.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3.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3.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3.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3.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3.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3.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3.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3.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3.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3.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3.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3.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3.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3.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3.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3.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3.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3.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3.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3.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3.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3.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3.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3.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3.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3.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3.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3.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3.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3.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3.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3.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3.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3.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3.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3.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3.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3.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3.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3.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3.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3.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3.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3.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3.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3.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3.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3.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3.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3.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3.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3.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3.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3.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3.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3.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3.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3.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3.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3.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3.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3.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3.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3.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3.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3.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3.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3.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3.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3.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3.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3.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3.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3.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3.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3.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3.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3.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3.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3.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3.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3.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3.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3.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3.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3.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3.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3.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3.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3.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3.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3.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3.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3.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3.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3.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3.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3.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3.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3.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3.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3.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3.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3.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3.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3.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3.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3.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3.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3.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3.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3.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3.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3.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3.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3.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3.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3.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3.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3.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3.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3.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3.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3.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3.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3.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3.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3.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3.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3.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3.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3.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3.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3.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3.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3.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3.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3.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3.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3.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3.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3.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3.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3.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3.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3.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3.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3.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3.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3.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3.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3.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3.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3.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3.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3.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3.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3.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3.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3.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3.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3.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3.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3.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3.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3.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3.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3.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3.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3.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3.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3.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3.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3.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3.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3.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3.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3.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3.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3.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3.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3.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3.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3.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3.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3.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3.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3.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3.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3.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3.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3.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3.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3.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3.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3.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3.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3.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3.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3.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3.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3.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3.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3.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3.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3.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3.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3.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3.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3.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3.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3.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3.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3.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3.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3.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3.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3.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3.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3.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3.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3.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3.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3.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3.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3.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3.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3.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3.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3.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3.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3.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3.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3.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3.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3.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3.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3.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3.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3.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3.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3.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3.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3.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3.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3.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3.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3.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3.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3.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3.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3.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3.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3.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3.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3.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3.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3.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3.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3.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3.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3.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3.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3.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3.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3.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3.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3.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3.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3.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3.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3.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3.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3.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3.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3.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3.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3.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3.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3.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3.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3.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3.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3.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3.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3.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3.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3.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3.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3.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3.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3.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3.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3.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3.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3.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3.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3.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3.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3.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3.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3.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3.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3.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3.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3.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3.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3.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3.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3.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3.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3.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3.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3.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3.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3.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3.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3.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3.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3.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3.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3.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3.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3.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3.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3.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3.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3.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3.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3.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3.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3.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3.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3.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3.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3.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3.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3.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3.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3.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3.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conditionalFormatting sqref="C13:C20 C33">
    <cfRule type="cellIs" dxfId="0" priority="1" operator="lessThan" stopIfTrue="1">
      <formula>0</formula>
    </cfRule>
  </conditionalFormatting>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worksheet>
</file>

<file path=xl/worksheets/sheet3.xml><?xml version="1.0" encoding="utf-8"?>
<worksheet xmlns:r="http://schemas.openxmlformats.org/officeDocument/2006/relationships" xmlns="http://schemas.openxmlformats.org/spreadsheetml/2006/main">
  <dimension ref="A1:Z102"/>
  <sheetViews>
    <sheetView workbookViewId="0" showGridLines="0" defaultGridColor="1"/>
  </sheetViews>
  <sheetFormatPr defaultColWidth="12.6667" defaultRowHeight="15" customHeight="1" outlineLevelRow="0" outlineLevelCol="0"/>
  <cols>
    <col min="1" max="1" width="60.8516" style="57" customWidth="1"/>
    <col min="2" max="2" width="16.3516" style="57" customWidth="1"/>
    <col min="3" max="3" width="39.3516" style="57" customWidth="1"/>
    <col min="4" max="4" width="17.8516" style="57" customWidth="1"/>
    <col min="5" max="5" width="10.5" style="57" customWidth="1"/>
    <col min="6" max="6" width="15.5" style="57" customWidth="1"/>
    <col min="7" max="26" width="10.5" style="57" customWidth="1"/>
    <col min="27" max="16384" width="12.6719" style="57" customWidth="1"/>
  </cols>
  <sheetData>
    <row r="1" ht="13.5" customHeight="1">
      <c r="A1" t="s" s="58">
        <v>20</v>
      </c>
      <c r="B1" t="s" s="59">
        <v>13</v>
      </c>
      <c r="C1" t="s" s="59">
        <v>21</v>
      </c>
      <c r="D1" t="s" s="60">
        <v>22</v>
      </c>
      <c r="E1" t="s" s="60">
        <v>23</v>
      </c>
      <c r="F1" t="s" s="60">
        <v>24</v>
      </c>
      <c r="G1" s="7"/>
      <c r="H1" s="7"/>
      <c r="I1" s="7"/>
      <c r="J1" s="7"/>
      <c r="K1" s="7"/>
      <c r="L1" s="7"/>
      <c r="M1" s="7"/>
      <c r="N1" s="7"/>
      <c r="O1" s="7"/>
      <c r="P1" s="7"/>
      <c r="Q1" s="7"/>
      <c r="R1" s="7"/>
      <c r="S1" s="7"/>
      <c r="T1" s="7"/>
      <c r="U1" s="7"/>
      <c r="V1" s="7"/>
      <c r="W1" s="7"/>
      <c r="X1" s="7"/>
      <c r="Y1" s="7"/>
      <c r="Z1" s="7"/>
    </row>
    <row r="2" ht="16.6" customHeight="1">
      <c r="A2" t="s" s="61">
        <v>25</v>
      </c>
      <c r="B2" t="s" s="62">
        <v>26</v>
      </c>
      <c r="C2" t="s" s="63">
        <v>27</v>
      </c>
      <c r="D2" s="64">
        <v>3.21</v>
      </c>
      <c r="E2" s="64">
        <v>1</v>
      </c>
      <c r="F2" s="65">
        <f>D2*E2</f>
        <v>3.21</v>
      </c>
      <c r="G2" s="7"/>
      <c r="H2" s="7"/>
      <c r="I2" s="7"/>
      <c r="J2" s="7"/>
      <c r="K2" s="7"/>
      <c r="L2" s="7"/>
      <c r="M2" s="7"/>
      <c r="N2" s="7"/>
      <c r="O2" s="7"/>
      <c r="P2" s="7"/>
      <c r="Q2" s="7"/>
      <c r="R2" s="7"/>
      <c r="S2" s="7"/>
      <c r="T2" s="7"/>
      <c r="U2" s="7"/>
      <c r="V2" s="7"/>
      <c r="W2" s="7"/>
      <c r="X2" s="7"/>
      <c r="Y2" s="7"/>
      <c r="Z2" s="7"/>
    </row>
    <row r="3" ht="16.6" customHeight="1">
      <c r="A3" t="s" s="61">
        <v>28</v>
      </c>
      <c r="B3" t="s" s="62">
        <f>B2</f>
        <v>26</v>
      </c>
      <c r="C3" t="s" s="63">
        <v>29</v>
      </c>
      <c r="D3" s="64">
        <v>0.44</v>
      </c>
      <c r="E3" s="64">
        <v>2</v>
      </c>
      <c r="F3" s="65">
        <f>D3*E3</f>
        <v>0.88</v>
      </c>
      <c r="G3" s="7"/>
      <c r="H3" s="7"/>
      <c r="I3" s="7"/>
      <c r="J3" s="7"/>
      <c r="K3" s="7"/>
      <c r="L3" s="7"/>
      <c r="M3" s="7"/>
      <c r="N3" s="7"/>
      <c r="O3" s="7"/>
      <c r="P3" s="7"/>
      <c r="Q3" s="7"/>
      <c r="R3" s="7"/>
      <c r="S3" s="7"/>
      <c r="T3" s="7"/>
      <c r="U3" s="7"/>
      <c r="V3" s="7"/>
      <c r="W3" s="7"/>
      <c r="X3" s="7"/>
      <c r="Y3" s="7"/>
      <c r="Z3" s="7"/>
    </row>
    <row r="4" ht="16.6" customHeight="1">
      <c r="A4" t="s" s="61">
        <v>30</v>
      </c>
      <c r="B4" t="s" s="62">
        <f>B3</f>
        <v>26</v>
      </c>
      <c r="C4" t="s" s="63">
        <v>31</v>
      </c>
      <c r="D4" s="64">
        <v>9.19</v>
      </c>
      <c r="E4" s="64">
        <v>1</v>
      </c>
      <c r="F4" s="65">
        <f>D4*E4</f>
        <v>9.19</v>
      </c>
      <c r="G4" s="7"/>
      <c r="H4" s="7"/>
      <c r="I4" s="7"/>
      <c r="J4" s="7"/>
      <c r="K4" s="7"/>
      <c r="L4" s="7"/>
      <c r="M4" s="7"/>
      <c r="N4" s="7"/>
      <c r="O4" s="7"/>
      <c r="P4" s="7"/>
      <c r="Q4" s="7"/>
      <c r="R4" s="7"/>
      <c r="S4" s="7"/>
      <c r="T4" s="7"/>
      <c r="U4" s="7"/>
      <c r="V4" s="7"/>
      <c r="W4" s="7"/>
      <c r="X4" s="7"/>
      <c r="Y4" s="7"/>
      <c r="Z4" s="7"/>
    </row>
    <row r="5" ht="16.6" customHeight="1">
      <c r="A5" t="s" s="61">
        <v>32</v>
      </c>
      <c r="B5" t="s" s="62">
        <f>B4</f>
        <v>26</v>
      </c>
      <c r="C5" t="s" s="63">
        <v>33</v>
      </c>
      <c r="D5" s="64">
        <v>2.47</v>
      </c>
      <c r="E5" s="64">
        <v>1</v>
      </c>
      <c r="F5" s="65">
        <f>D5*E5</f>
        <v>2.47</v>
      </c>
      <c r="G5" s="7"/>
      <c r="H5" s="7"/>
      <c r="I5" s="7"/>
      <c r="J5" s="7"/>
      <c r="K5" s="7"/>
      <c r="L5" s="7"/>
      <c r="M5" s="7"/>
      <c r="N5" s="7"/>
      <c r="O5" s="7"/>
      <c r="P5" s="7"/>
      <c r="Q5" s="7"/>
      <c r="R5" s="7"/>
      <c r="S5" s="7"/>
      <c r="T5" s="7"/>
      <c r="U5" s="7"/>
      <c r="V5" s="7"/>
      <c r="W5" s="7"/>
      <c r="X5" s="7"/>
      <c r="Y5" s="7"/>
      <c r="Z5" s="7"/>
    </row>
    <row r="6" ht="16.6" customHeight="1">
      <c r="A6" t="s" s="61">
        <v>34</v>
      </c>
      <c r="B6" t="s" s="62">
        <f>B5</f>
        <v>26</v>
      </c>
      <c r="C6" t="s" s="63">
        <v>35</v>
      </c>
      <c r="D6" s="64">
        <v>3.49</v>
      </c>
      <c r="E6" s="64">
        <v>1</v>
      </c>
      <c r="F6" s="65">
        <f>D6*E6</f>
        <v>3.49</v>
      </c>
      <c r="G6" s="7"/>
      <c r="H6" s="7"/>
      <c r="I6" s="7"/>
      <c r="J6" s="7"/>
      <c r="K6" s="7"/>
      <c r="L6" s="7"/>
      <c r="M6" s="7"/>
      <c r="N6" s="7"/>
      <c r="O6" s="7"/>
      <c r="P6" s="7"/>
      <c r="Q6" s="7"/>
      <c r="R6" s="7"/>
      <c r="S6" s="7"/>
      <c r="T6" s="7"/>
      <c r="U6" s="7"/>
      <c r="V6" s="7"/>
      <c r="W6" s="7"/>
      <c r="X6" s="7"/>
      <c r="Y6" s="7"/>
      <c r="Z6" s="7"/>
    </row>
    <row r="7" ht="16.6" customHeight="1">
      <c r="A7" s="66"/>
      <c r="B7" s="67"/>
      <c r="C7" s="68"/>
      <c r="D7" s="66"/>
      <c r="E7" s="66"/>
      <c r="F7" s="65">
        <f>D7*E7</f>
        <v>0</v>
      </c>
      <c r="G7" s="7"/>
      <c r="H7" s="7"/>
      <c r="I7" s="7"/>
      <c r="J7" s="7"/>
      <c r="K7" s="7"/>
      <c r="L7" s="7"/>
      <c r="M7" s="7"/>
      <c r="N7" s="7"/>
      <c r="O7" s="7"/>
      <c r="P7" s="7"/>
      <c r="Q7" s="7"/>
      <c r="R7" s="7"/>
      <c r="S7" s="7"/>
      <c r="T7" s="7"/>
      <c r="U7" s="7"/>
      <c r="V7" s="7"/>
      <c r="W7" s="7"/>
      <c r="X7" s="7"/>
      <c r="Y7" s="7"/>
      <c r="Z7" s="7"/>
    </row>
    <row r="8" ht="12.75" customHeight="1">
      <c r="A8" t="s" s="61">
        <v>36</v>
      </c>
      <c r="B8" s="69"/>
      <c r="C8" s="66"/>
      <c r="D8" s="64">
        <v>2.14</v>
      </c>
      <c r="E8" s="64">
        <v>1</v>
      </c>
      <c r="F8" s="65">
        <f>D8*E8</f>
        <v>2.14</v>
      </c>
      <c r="G8" s="7"/>
      <c r="H8" s="7"/>
      <c r="I8" s="7"/>
      <c r="J8" s="7"/>
      <c r="K8" s="7"/>
      <c r="L8" s="7"/>
      <c r="M8" s="7"/>
      <c r="N8" s="7"/>
      <c r="O8" s="7"/>
      <c r="P8" s="7"/>
      <c r="Q8" s="7"/>
      <c r="R8" s="7"/>
      <c r="S8" s="7"/>
      <c r="T8" s="7"/>
      <c r="U8" s="7"/>
      <c r="V8" s="7"/>
      <c r="W8" s="7"/>
      <c r="X8" s="7"/>
      <c r="Y8" s="7"/>
      <c r="Z8" s="7"/>
    </row>
    <row r="9" ht="16.6" customHeight="1">
      <c r="A9" s="66"/>
      <c r="B9" s="69"/>
      <c r="C9" s="66"/>
      <c r="D9" s="66"/>
      <c r="E9" s="66"/>
      <c r="F9" s="70"/>
      <c r="G9" s="7"/>
      <c r="H9" s="7"/>
      <c r="I9" s="7"/>
      <c r="J9" s="7"/>
      <c r="K9" s="7"/>
      <c r="L9" s="7"/>
      <c r="M9" s="7"/>
      <c r="N9" s="7"/>
      <c r="O9" s="7"/>
      <c r="P9" s="7"/>
      <c r="Q9" s="7"/>
      <c r="R9" s="7"/>
      <c r="S9" s="7"/>
      <c r="T9" s="7"/>
      <c r="U9" s="7"/>
      <c r="V9" s="7"/>
      <c r="W9" s="7"/>
      <c r="X9" s="7"/>
      <c r="Y9" s="7"/>
      <c r="Z9" s="7"/>
    </row>
    <row r="10" ht="12.75" customHeight="1">
      <c r="A10" s="66"/>
      <c r="B10" s="69"/>
      <c r="C10" s="66"/>
      <c r="D10" s="66"/>
      <c r="E10" t="s" s="71">
        <v>37</v>
      </c>
      <c r="F10" s="72">
        <f>SUM(F2:F8)</f>
        <v>21.38</v>
      </c>
      <c r="G10" s="73"/>
      <c r="H10" s="7"/>
      <c r="I10" s="7"/>
      <c r="J10" s="7"/>
      <c r="K10" s="7"/>
      <c r="L10" s="7"/>
      <c r="M10" s="7"/>
      <c r="N10" s="7"/>
      <c r="O10" s="7"/>
      <c r="P10" s="7"/>
      <c r="Q10" s="7"/>
      <c r="R10" s="7"/>
      <c r="S10" s="7"/>
      <c r="T10" s="7"/>
      <c r="U10" s="7"/>
      <c r="V10" s="7"/>
      <c r="W10" s="7"/>
      <c r="X10" s="7"/>
      <c r="Y10" s="7"/>
      <c r="Z10" s="7"/>
    </row>
    <row r="11" ht="15.75" customHeight="1">
      <c r="A11" s="66"/>
      <c r="B11" s="69"/>
      <c r="C11" s="66"/>
      <c r="D11" s="66"/>
      <c r="E11" s="66"/>
      <c r="F11" s="74"/>
      <c r="G11" s="7"/>
      <c r="H11" s="7"/>
      <c r="I11" s="7"/>
      <c r="J11" s="7"/>
      <c r="K11" s="7"/>
      <c r="L11" s="7"/>
      <c r="M11" s="7"/>
      <c r="N11" s="7"/>
      <c r="O11" s="7"/>
      <c r="P11" s="7"/>
      <c r="Q11" s="7"/>
      <c r="R11" s="7"/>
      <c r="S11" s="7"/>
      <c r="T11" s="7"/>
      <c r="U11" s="7"/>
      <c r="V11" s="7"/>
      <c r="W11" s="7"/>
      <c r="X11" s="7"/>
      <c r="Y11" s="7"/>
      <c r="Z11" s="7"/>
    </row>
    <row r="12" ht="16.6" customHeight="1">
      <c r="A12" s="66"/>
      <c r="B12" s="69"/>
      <c r="C12" s="66"/>
      <c r="D12" s="66"/>
      <c r="E12" s="66"/>
      <c r="F12" s="65"/>
      <c r="G12" s="7"/>
      <c r="H12" s="7"/>
      <c r="I12" s="7"/>
      <c r="J12" s="7"/>
      <c r="K12" s="7"/>
      <c r="L12" s="7"/>
      <c r="M12" s="7"/>
      <c r="N12" s="7"/>
      <c r="O12" s="7"/>
      <c r="P12" s="7"/>
      <c r="Q12" s="7"/>
      <c r="R12" s="7"/>
      <c r="S12" s="7"/>
      <c r="T12" s="7"/>
      <c r="U12" s="7"/>
      <c r="V12" s="7"/>
      <c r="W12" s="7"/>
      <c r="X12" s="7"/>
      <c r="Y12" s="7"/>
      <c r="Z12" s="7"/>
    </row>
    <row r="13" ht="16.6" customHeight="1">
      <c r="A13" s="66"/>
      <c r="B13" s="69"/>
      <c r="C13" s="66"/>
      <c r="D13" s="66"/>
      <c r="E13" s="66"/>
      <c r="F13" s="65"/>
      <c r="G13" s="7"/>
      <c r="H13" s="7"/>
      <c r="I13" s="7"/>
      <c r="J13" s="7"/>
      <c r="K13" s="7"/>
      <c r="L13" s="7"/>
      <c r="M13" s="7"/>
      <c r="N13" s="7"/>
      <c r="O13" s="7"/>
      <c r="P13" s="7"/>
      <c r="Q13" s="7"/>
      <c r="R13" s="7"/>
      <c r="S13" s="7"/>
      <c r="T13" s="7"/>
      <c r="U13" s="7"/>
      <c r="V13" s="7"/>
      <c r="W13" s="7"/>
      <c r="X13" s="7"/>
      <c r="Y13" s="7"/>
      <c r="Z13" s="7"/>
    </row>
    <row r="14" ht="14.25" customHeight="1">
      <c r="A14" s="66"/>
      <c r="B14" s="69"/>
      <c r="C14" s="66"/>
      <c r="D14" s="66"/>
      <c r="E14" s="66"/>
      <c r="F14" s="65"/>
      <c r="G14" s="7"/>
      <c r="H14" s="7"/>
      <c r="I14" s="7"/>
      <c r="J14" s="7"/>
      <c r="K14" s="7"/>
      <c r="L14" s="7"/>
      <c r="M14" s="7"/>
      <c r="N14" s="7"/>
      <c r="O14" s="7"/>
      <c r="P14" s="7"/>
      <c r="Q14" s="7"/>
      <c r="R14" s="7"/>
      <c r="S14" s="7"/>
      <c r="T14" s="7"/>
      <c r="U14" s="7"/>
      <c r="V14" s="7"/>
      <c r="W14" s="7"/>
      <c r="X14" s="7"/>
      <c r="Y14" s="7"/>
      <c r="Z14" s="7"/>
    </row>
    <row r="15" ht="16.6" customHeight="1">
      <c r="A15" s="66"/>
      <c r="B15" s="69"/>
      <c r="C15" s="66"/>
      <c r="D15" s="66"/>
      <c r="E15" s="75"/>
      <c r="F15" s="65"/>
      <c r="G15" s="7"/>
      <c r="H15" s="7"/>
      <c r="I15" s="7"/>
      <c r="J15" s="7"/>
      <c r="K15" s="7"/>
      <c r="L15" s="7"/>
      <c r="M15" s="7"/>
      <c r="N15" s="7"/>
      <c r="O15" s="7"/>
      <c r="P15" s="7"/>
      <c r="Q15" s="7"/>
      <c r="R15" s="7"/>
      <c r="S15" s="7"/>
      <c r="T15" s="7"/>
      <c r="U15" s="7"/>
      <c r="V15" s="7"/>
      <c r="W15" s="7"/>
      <c r="X15" s="7"/>
      <c r="Y15" s="7"/>
      <c r="Z15" s="7"/>
    </row>
    <row r="16" ht="16.6" customHeight="1">
      <c r="A16" s="66"/>
      <c r="B16" s="69"/>
      <c r="C16" s="66"/>
      <c r="D16" s="66"/>
      <c r="E16" s="66"/>
      <c r="F16" s="65"/>
      <c r="G16" s="7"/>
      <c r="H16" s="7"/>
      <c r="I16" s="7"/>
      <c r="J16" s="7"/>
      <c r="K16" s="7"/>
      <c r="L16" s="7"/>
      <c r="M16" s="7"/>
      <c r="N16" s="7"/>
      <c r="O16" s="7"/>
      <c r="P16" s="7"/>
      <c r="Q16" s="7"/>
      <c r="R16" s="7"/>
      <c r="S16" s="7"/>
      <c r="T16" s="7"/>
      <c r="U16" s="7"/>
      <c r="V16" s="7"/>
      <c r="W16" s="7"/>
      <c r="X16" s="7"/>
      <c r="Y16" s="7"/>
      <c r="Z16" s="7"/>
    </row>
    <row r="17" ht="16.6" customHeight="1">
      <c r="A17" s="66"/>
      <c r="B17" s="69"/>
      <c r="C17" s="69"/>
      <c r="D17" s="66"/>
      <c r="E17" s="66"/>
      <c r="F17" s="65"/>
      <c r="G17" s="7"/>
      <c r="H17" s="7"/>
      <c r="I17" s="7"/>
      <c r="J17" s="7"/>
      <c r="K17" s="7"/>
      <c r="L17" s="7"/>
      <c r="M17" s="7"/>
      <c r="N17" s="7"/>
      <c r="O17" s="7"/>
      <c r="P17" s="7"/>
      <c r="Q17" s="7"/>
      <c r="R17" s="7"/>
      <c r="S17" s="7"/>
      <c r="T17" s="7"/>
      <c r="U17" s="7"/>
      <c r="V17" s="7"/>
      <c r="W17" s="7"/>
      <c r="X17" s="7"/>
      <c r="Y17" s="7"/>
      <c r="Z17" s="7"/>
    </row>
    <row r="18" ht="16.6" customHeight="1">
      <c r="A18" s="76"/>
      <c r="B18" s="77"/>
      <c r="C18" s="78"/>
      <c r="D18" s="76"/>
      <c r="E18" s="76"/>
      <c r="F18" s="70"/>
      <c r="G18" s="79"/>
      <c r="H18" s="79"/>
      <c r="I18" s="79"/>
      <c r="J18" s="79"/>
      <c r="K18" s="79"/>
      <c r="L18" s="79"/>
      <c r="M18" s="79"/>
      <c r="N18" s="79"/>
      <c r="O18" s="79"/>
      <c r="P18" s="79"/>
      <c r="Q18" s="79"/>
      <c r="R18" s="79"/>
      <c r="S18" s="79"/>
      <c r="T18" s="79"/>
      <c r="U18" s="79"/>
      <c r="V18" s="79"/>
      <c r="W18" s="79"/>
      <c r="X18" s="79"/>
      <c r="Y18" s="79"/>
      <c r="Z18" s="79"/>
    </row>
    <row r="19" ht="16.6" customHeight="1">
      <c r="A19" s="80"/>
      <c r="B19" s="81"/>
      <c r="C19" s="82"/>
      <c r="D19" s="82"/>
      <c r="E19" s="82"/>
      <c r="F19" s="83"/>
      <c r="G19" s="84"/>
      <c r="H19" s="84"/>
      <c r="I19" s="84"/>
      <c r="J19" s="84"/>
      <c r="K19" s="84"/>
      <c r="L19" s="84"/>
      <c r="M19" s="84"/>
      <c r="N19" s="84"/>
      <c r="O19" s="84"/>
      <c r="P19" s="84"/>
      <c r="Q19" s="84"/>
      <c r="R19" s="84"/>
      <c r="S19" s="84"/>
      <c r="T19" s="84"/>
      <c r="U19" s="84"/>
      <c r="V19" s="84"/>
      <c r="W19" s="84"/>
      <c r="X19" s="84"/>
      <c r="Y19" s="84"/>
      <c r="Z19" s="85"/>
    </row>
    <row r="20" ht="16.6" customHeight="1">
      <c r="A20" s="80"/>
      <c r="B20" s="81"/>
      <c r="C20" s="82"/>
      <c r="D20" s="82"/>
      <c r="E20" s="82"/>
      <c r="F20" s="83"/>
      <c r="G20" s="84"/>
      <c r="H20" s="84"/>
      <c r="I20" s="84"/>
      <c r="J20" s="84"/>
      <c r="K20" s="84"/>
      <c r="L20" s="84"/>
      <c r="M20" s="84"/>
      <c r="N20" s="84"/>
      <c r="O20" s="84"/>
      <c r="P20" s="84"/>
      <c r="Q20" s="84"/>
      <c r="R20" s="84"/>
      <c r="S20" s="84"/>
      <c r="T20" s="84"/>
      <c r="U20" s="84"/>
      <c r="V20" s="84"/>
      <c r="W20" s="84"/>
      <c r="X20" s="84"/>
      <c r="Y20" s="84"/>
      <c r="Z20" s="85"/>
    </row>
    <row r="21" ht="16.6" customHeight="1">
      <c r="A21" s="80"/>
      <c r="B21" s="81"/>
      <c r="C21" s="81"/>
      <c r="D21" s="82"/>
      <c r="E21" s="82"/>
      <c r="F21" s="83"/>
      <c r="G21" s="84"/>
      <c r="H21" s="84"/>
      <c r="I21" s="84"/>
      <c r="J21" s="84"/>
      <c r="K21" s="84"/>
      <c r="L21" s="84"/>
      <c r="M21" s="84"/>
      <c r="N21" s="84"/>
      <c r="O21" s="84"/>
      <c r="P21" s="84"/>
      <c r="Q21" s="84"/>
      <c r="R21" s="84"/>
      <c r="S21" s="84"/>
      <c r="T21" s="84"/>
      <c r="U21" s="84"/>
      <c r="V21" s="84"/>
      <c r="W21" s="84"/>
      <c r="X21" s="84"/>
      <c r="Y21" s="84"/>
      <c r="Z21" s="85"/>
    </row>
    <row r="22" ht="14.25" customHeight="1">
      <c r="A22" s="80"/>
      <c r="B22" s="81"/>
      <c r="C22" s="82"/>
      <c r="D22" s="82"/>
      <c r="E22" s="82"/>
      <c r="F22" s="83"/>
      <c r="G22" s="84"/>
      <c r="H22" s="84"/>
      <c r="I22" s="84"/>
      <c r="J22" s="84"/>
      <c r="K22" s="84"/>
      <c r="L22" s="84"/>
      <c r="M22" s="84"/>
      <c r="N22" s="84"/>
      <c r="O22" s="84"/>
      <c r="P22" s="84"/>
      <c r="Q22" s="84"/>
      <c r="R22" s="84"/>
      <c r="S22" s="84"/>
      <c r="T22" s="84"/>
      <c r="U22" s="84"/>
      <c r="V22" s="84"/>
      <c r="W22" s="84"/>
      <c r="X22" s="84"/>
      <c r="Y22" s="84"/>
      <c r="Z22" s="85"/>
    </row>
    <row r="23" ht="16.6" customHeight="1">
      <c r="A23" s="80"/>
      <c r="B23" s="81"/>
      <c r="C23" s="82"/>
      <c r="D23" s="82"/>
      <c r="E23" s="82"/>
      <c r="F23" s="83"/>
      <c r="G23" s="84"/>
      <c r="H23" s="84"/>
      <c r="I23" s="84"/>
      <c r="J23" s="84"/>
      <c r="K23" s="84"/>
      <c r="L23" s="84"/>
      <c r="M23" s="84"/>
      <c r="N23" s="84"/>
      <c r="O23" s="84"/>
      <c r="P23" s="84"/>
      <c r="Q23" s="84"/>
      <c r="R23" s="84"/>
      <c r="S23" s="84"/>
      <c r="T23" s="84"/>
      <c r="U23" s="84"/>
      <c r="V23" s="84"/>
      <c r="W23" s="84"/>
      <c r="X23" s="84"/>
      <c r="Y23" s="84"/>
      <c r="Z23" s="85"/>
    </row>
    <row r="24" ht="16.6" customHeight="1">
      <c r="A24" s="80"/>
      <c r="B24" s="81"/>
      <c r="C24" s="82"/>
      <c r="D24" s="82"/>
      <c r="E24" s="82"/>
      <c r="F24" s="83"/>
      <c r="G24" s="84"/>
      <c r="H24" s="84"/>
      <c r="I24" s="84"/>
      <c r="J24" s="84"/>
      <c r="K24" s="84"/>
      <c r="L24" s="84"/>
      <c r="M24" s="84"/>
      <c r="N24" s="84"/>
      <c r="O24" s="84"/>
      <c r="P24" s="84"/>
      <c r="Q24" s="84"/>
      <c r="R24" s="84"/>
      <c r="S24" s="84"/>
      <c r="T24" s="84"/>
      <c r="U24" s="84"/>
      <c r="V24" s="84"/>
      <c r="W24" s="84"/>
      <c r="X24" s="84"/>
      <c r="Y24" s="84"/>
      <c r="Z24" s="85"/>
    </row>
    <row r="25" ht="16.6" customHeight="1">
      <c r="A25" s="80"/>
      <c r="B25" s="81"/>
      <c r="C25" s="82"/>
      <c r="D25" s="82"/>
      <c r="E25" s="82"/>
      <c r="F25" s="83"/>
      <c r="G25" s="84"/>
      <c r="H25" s="84"/>
      <c r="I25" s="84"/>
      <c r="J25" s="84"/>
      <c r="K25" s="84"/>
      <c r="L25" s="84"/>
      <c r="M25" s="84"/>
      <c r="N25" s="84"/>
      <c r="O25" s="84"/>
      <c r="P25" s="84"/>
      <c r="Q25" s="84"/>
      <c r="R25" s="84"/>
      <c r="S25" s="84"/>
      <c r="T25" s="84"/>
      <c r="U25" s="84"/>
      <c r="V25" s="84"/>
      <c r="W25" s="84"/>
      <c r="X25" s="84"/>
      <c r="Y25" s="84"/>
      <c r="Z25" s="85"/>
    </row>
    <row r="26" ht="16.6" customHeight="1">
      <c r="A26" s="80"/>
      <c r="B26" s="81"/>
      <c r="C26" s="82"/>
      <c r="D26" s="82"/>
      <c r="E26" s="82"/>
      <c r="F26" s="83"/>
      <c r="G26" s="84"/>
      <c r="H26" s="84"/>
      <c r="I26" s="84"/>
      <c r="J26" s="84"/>
      <c r="K26" s="84"/>
      <c r="L26" s="84"/>
      <c r="M26" s="84"/>
      <c r="N26" s="84"/>
      <c r="O26" s="84"/>
      <c r="P26" s="84"/>
      <c r="Q26" s="84"/>
      <c r="R26" s="84"/>
      <c r="S26" s="84"/>
      <c r="T26" s="84"/>
      <c r="U26" s="84"/>
      <c r="V26" s="84"/>
      <c r="W26" s="84"/>
      <c r="X26" s="84"/>
      <c r="Y26" s="84"/>
      <c r="Z26" s="85"/>
    </row>
    <row r="27" ht="16.6" customHeight="1">
      <c r="A27" s="80"/>
      <c r="B27" s="81"/>
      <c r="C27" s="82"/>
      <c r="D27" s="82"/>
      <c r="E27" s="82"/>
      <c r="F27" s="83"/>
      <c r="G27" s="84"/>
      <c r="H27" s="84"/>
      <c r="I27" s="84"/>
      <c r="J27" s="84"/>
      <c r="K27" s="84"/>
      <c r="L27" s="84"/>
      <c r="M27" s="84"/>
      <c r="N27" s="84"/>
      <c r="O27" s="84"/>
      <c r="P27" s="84"/>
      <c r="Q27" s="84"/>
      <c r="R27" s="84"/>
      <c r="S27" s="84"/>
      <c r="T27" s="84"/>
      <c r="U27" s="84"/>
      <c r="V27" s="84"/>
      <c r="W27" s="84"/>
      <c r="X27" s="84"/>
      <c r="Y27" s="84"/>
      <c r="Z27" s="85"/>
    </row>
    <row r="28" ht="16.6" customHeight="1">
      <c r="A28" s="80"/>
      <c r="B28" s="81"/>
      <c r="C28" s="82"/>
      <c r="D28" s="82"/>
      <c r="E28" s="82"/>
      <c r="F28" s="83"/>
      <c r="G28" s="84"/>
      <c r="H28" s="84"/>
      <c r="I28" s="84"/>
      <c r="J28" s="84"/>
      <c r="K28" s="84"/>
      <c r="L28" s="84"/>
      <c r="M28" s="84"/>
      <c r="N28" s="84"/>
      <c r="O28" s="84"/>
      <c r="P28" s="84"/>
      <c r="Q28" s="84"/>
      <c r="R28" s="84"/>
      <c r="S28" s="84"/>
      <c r="T28" s="84"/>
      <c r="U28" s="84"/>
      <c r="V28" s="84"/>
      <c r="W28" s="84"/>
      <c r="X28" s="84"/>
      <c r="Y28" s="84"/>
      <c r="Z28" s="85"/>
    </row>
    <row r="29" ht="16.6" customHeight="1">
      <c r="A29" s="80"/>
      <c r="B29" s="81"/>
      <c r="C29" s="82"/>
      <c r="D29" s="82"/>
      <c r="E29" s="82"/>
      <c r="F29" s="83"/>
      <c r="G29" s="84"/>
      <c r="H29" s="84"/>
      <c r="I29" s="84"/>
      <c r="J29" s="84"/>
      <c r="K29" s="84"/>
      <c r="L29" s="84"/>
      <c r="M29" s="84"/>
      <c r="N29" s="84"/>
      <c r="O29" s="84"/>
      <c r="P29" s="84"/>
      <c r="Q29" s="84"/>
      <c r="R29" s="84"/>
      <c r="S29" s="84"/>
      <c r="T29" s="84"/>
      <c r="U29" s="84"/>
      <c r="V29" s="84"/>
      <c r="W29" s="84"/>
      <c r="X29" s="84"/>
      <c r="Y29" s="84"/>
      <c r="Z29" s="85"/>
    </row>
    <row r="30" ht="16.6" customHeight="1">
      <c r="A30" s="80"/>
      <c r="B30" s="81"/>
      <c r="C30" s="82"/>
      <c r="D30" s="82"/>
      <c r="E30" s="82"/>
      <c r="F30" s="83"/>
      <c r="G30" s="84"/>
      <c r="H30" s="84"/>
      <c r="I30" s="84"/>
      <c r="J30" s="84"/>
      <c r="K30" s="84"/>
      <c r="L30" s="84"/>
      <c r="M30" s="84"/>
      <c r="N30" s="84"/>
      <c r="O30" s="84"/>
      <c r="P30" s="84"/>
      <c r="Q30" s="84"/>
      <c r="R30" s="84"/>
      <c r="S30" s="84"/>
      <c r="T30" s="84"/>
      <c r="U30" s="84"/>
      <c r="V30" s="84"/>
      <c r="W30" s="84"/>
      <c r="X30" s="84"/>
      <c r="Y30" s="84"/>
      <c r="Z30" s="85"/>
    </row>
    <row r="31" ht="16.6" customHeight="1">
      <c r="A31" s="80"/>
      <c r="B31" s="81"/>
      <c r="C31" s="82"/>
      <c r="D31" s="82"/>
      <c r="E31" s="82"/>
      <c r="F31" s="83"/>
      <c r="G31" s="84"/>
      <c r="H31" s="84"/>
      <c r="I31" s="84"/>
      <c r="J31" s="84"/>
      <c r="K31" s="84"/>
      <c r="L31" s="84"/>
      <c r="M31" s="84"/>
      <c r="N31" s="84"/>
      <c r="O31" s="84"/>
      <c r="P31" s="84"/>
      <c r="Q31" s="84"/>
      <c r="R31" s="84"/>
      <c r="S31" s="84"/>
      <c r="T31" s="84"/>
      <c r="U31" s="84"/>
      <c r="V31" s="84"/>
      <c r="W31" s="84"/>
      <c r="X31" s="84"/>
      <c r="Y31" s="84"/>
      <c r="Z31" s="85"/>
    </row>
    <row r="32" ht="16.6" customHeight="1">
      <c r="A32" s="80"/>
      <c r="B32" s="81"/>
      <c r="C32" s="82"/>
      <c r="D32" s="82"/>
      <c r="E32" s="82"/>
      <c r="F32" s="83"/>
      <c r="G32" s="84"/>
      <c r="H32" s="84"/>
      <c r="I32" s="84"/>
      <c r="J32" s="84"/>
      <c r="K32" s="84"/>
      <c r="L32" s="84"/>
      <c r="M32" s="84"/>
      <c r="N32" s="84"/>
      <c r="O32" s="84"/>
      <c r="P32" s="84"/>
      <c r="Q32" s="84"/>
      <c r="R32" s="84"/>
      <c r="S32" s="84"/>
      <c r="T32" s="84"/>
      <c r="U32" s="84"/>
      <c r="V32" s="84"/>
      <c r="W32" s="84"/>
      <c r="X32" s="84"/>
      <c r="Y32" s="84"/>
      <c r="Z32" s="85"/>
    </row>
    <row r="33" ht="16.6" customHeight="1">
      <c r="A33" s="80"/>
      <c r="B33" s="81"/>
      <c r="C33" s="82"/>
      <c r="D33" s="82"/>
      <c r="E33" s="82"/>
      <c r="F33" s="83"/>
      <c r="G33" s="84"/>
      <c r="H33" s="84"/>
      <c r="I33" s="84"/>
      <c r="J33" s="84"/>
      <c r="K33" s="84"/>
      <c r="L33" s="84"/>
      <c r="M33" s="84"/>
      <c r="N33" s="84"/>
      <c r="O33" s="84"/>
      <c r="P33" s="84"/>
      <c r="Q33" s="84"/>
      <c r="R33" s="84"/>
      <c r="S33" s="84"/>
      <c r="T33" s="84"/>
      <c r="U33" s="84"/>
      <c r="V33" s="84"/>
      <c r="W33" s="84"/>
      <c r="X33" s="84"/>
      <c r="Y33" s="84"/>
      <c r="Z33" s="85"/>
    </row>
    <row r="34" ht="16.6" customHeight="1">
      <c r="A34" s="80"/>
      <c r="B34" s="81"/>
      <c r="C34" s="82"/>
      <c r="D34" s="82"/>
      <c r="E34" s="82"/>
      <c r="F34" s="83"/>
      <c r="G34" s="84"/>
      <c r="H34" s="84"/>
      <c r="I34" s="84"/>
      <c r="J34" s="84"/>
      <c r="K34" s="84"/>
      <c r="L34" s="84"/>
      <c r="M34" s="84"/>
      <c r="N34" s="84"/>
      <c r="O34" s="84"/>
      <c r="P34" s="84"/>
      <c r="Q34" s="84"/>
      <c r="R34" s="84"/>
      <c r="S34" s="84"/>
      <c r="T34" s="84"/>
      <c r="U34" s="84"/>
      <c r="V34" s="84"/>
      <c r="W34" s="84"/>
      <c r="X34" s="84"/>
      <c r="Y34" s="84"/>
      <c r="Z34" s="85"/>
    </row>
    <row r="35" ht="16.6" customHeight="1">
      <c r="A35" s="80"/>
      <c r="B35" s="81"/>
      <c r="C35" s="82"/>
      <c r="D35" s="82"/>
      <c r="E35" s="82"/>
      <c r="F35" s="83"/>
      <c r="G35" s="84"/>
      <c r="H35" s="84"/>
      <c r="I35" s="84"/>
      <c r="J35" s="84"/>
      <c r="K35" s="84"/>
      <c r="L35" s="84"/>
      <c r="M35" s="84"/>
      <c r="N35" s="84"/>
      <c r="O35" s="84"/>
      <c r="P35" s="84"/>
      <c r="Q35" s="84"/>
      <c r="R35" s="84"/>
      <c r="S35" s="84"/>
      <c r="T35" s="84"/>
      <c r="U35" s="84"/>
      <c r="V35" s="84"/>
      <c r="W35" s="84"/>
      <c r="X35" s="84"/>
      <c r="Y35" s="84"/>
      <c r="Z35" s="85"/>
    </row>
    <row r="36" ht="14.25" customHeight="1">
      <c r="A36" s="80"/>
      <c r="B36" s="81"/>
      <c r="C36" s="82"/>
      <c r="D36" s="86"/>
      <c r="E36" s="82"/>
      <c r="F36" s="83"/>
      <c r="G36" s="84"/>
      <c r="H36" s="84"/>
      <c r="I36" s="84"/>
      <c r="J36" s="84"/>
      <c r="K36" s="84"/>
      <c r="L36" s="84"/>
      <c r="M36" s="84"/>
      <c r="N36" s="84"/>
      <c r="O36" s="84"/>
      <c r="P36" s="84"/>
      <c r="Q36" s="84"/>
      <c r="R36" s="84"/>
      <c r="S36" s="84"/>
      <c r="T36" s="84"/>
      <c r="U36" s="84"/>
      <c r="V36" s="84"/>
      <c r="W36" s="84"/>
      <c r="X36" s="84"/>
      <c r="Y36" s="84"/>
      <c r="Z36" s="85"/>
    </row>
    <row r="37" ht="16.6" customHeight="1">
      <c r="A37" s="80"/>
      <c r="B37" s="81"/>
      <c r="C37" s="82"/>
      <c r="D37" s="82"/>
      <c r="E37" s="82"/>
      <c r="F37" s="83"/>
      <c r="G37" s="84"/>
      <c r="H37" s="84"/>
      <c r="I37" s="84"/>
      <c r="J37" s="84"/>
      <c r="K37" s="84"/>
      <c r="L37" s="84"/>
      <c r="M37" s="84"/>
      <c r="N37" s="84"/>
      <c r="O37" s="84"/>
      <c r="P37" s="84"/>
      <c r="Q37" s="84"/>
      <c r="R37" s="84"/>
      <c r="S37" s="84"/>
      <c r="T37" s="84"/>
      <c r="U37" s="84"/>
      <c r="V37" s="84"/>
      <c r="W37" s="84"/>
      <c r="X37" s="84"/>
      <c r="Y37" s="84"/>
      <c r="Z37" s="85"/>
    </row>
    <row r="38" ht="13.5" customHeight="1">
      <c r="A38" s="80"/>
      <c r="B38" s="81"/>
      <c r="C38" s="82"/>
      <c r="D38" s="82"/>
      <c r="E38" s="82"/>
      <c r="F38" s="83"/>
      <c r="G38" s="84"/>
      <c r="H38" s="84"/>
      <c r="I38" s="84"/>
      <c r="J38" s="84"/>
      <c r="K38" s="84"/>
      <c r="L38" s="84"/>
      <c r="M38" s="84"/>
      <c r="N38" s="84"/>
      <c r="O38" s="84"/>
      <c r="P38" s="84"/>
      <c r="Q38" s="84"/>
      <c r="R38" s="84"/>
      <c r="S38" s="84"/>
      <c r="T38" s="84"/>
      <c r="U38" s="84"/>
      <c r="V38" s="84"/>
      <c r="W38" s="84"/>
      <c r="X38" s="84"/>
      <c r="Y38" s="84"/>
      <c r="Z38" s="85"/>
    </row>
    <row r="39" ht="16.6" customHeight="1">
      <c r="A39" s="87"/>
      <c r="B39" s="88"/>
      <c r="C39" s="87"/>
      <c r="D39" s="87"/>
      <c r="E39" s="87"/>
      <c r="F39" s="74"/>
      <c r="G39" s="89"/>
      <c r="H39" s="89"/>
      <c r="I39" s="89"/>
      <c r="J39" s="89"/>
      <c r="K39" s="89"/>
      <c r="L39" s="89"/>
      <c r="M39" s="89"/>
      <c r="N39" s="89"/>
      <c r="O39" s="89"/>
      <c r="P39" s="89"/>
      <c r="Q39" s="89"/>
      <c r="R39" s="89"/>
      <c r="S39" s="89"/>
      <c r="T39" s="89"/>
      <c r="U39" s="89"/>
      <c r="V39" s="89"/>
      <c r="W39" s="89"/>
      <c r="X39" s="89"/>
      <c r="Y39" s="89"/>
      <c r="Z39" s="89"/>
    </row>
    <row r="40" ht="16.6" customHeight="1">
      <c r="A40" s="66"/>
      <c r="B40" s="69"/>
      <c r="C40" s="66"/>
      <c r="D40" s="66"/>
      <c r="E40" s="66"/>
      <c r="F40" s="65"/>
      <c r="G40" s="7"/>
      <c r="H40" s="7"/>
      <c r="I40" s="7"/>
      <c r="J40" s="7"/>
      <c r="K40" s="7"/>
      <c r="L40" s="7"/>
      <c r="M40" s="7"/>
      <c r="N40" s="7"/>
      <c r="O40" s="7"/>
      <c r="P40" s="7"/>
      <c r="Q40" s="7"/>
      <c r="R40" s="7"/>
      <c r="S40" s="7"/>
      <c r="T40" s="7"/>
      <c r="U40" s="7"/>
      <c r="V40" s="7"/>
      <c r="W40" s="7"/>
      <c r="X40" s="7"/>
      <c r="Y40" s="7"/>
      <c r="Z40" s="7"/>
    </row>
    <row r="41" ht="15.75" customHeight="1">
      <c r="A41" s="66"/>
      <c r="B41" s="69"/>
      <c r="C41" s="66"/>
      <c r="D41" s="66"/>
      <c r="E41" s="66"/>
      <c r="F41" s="65"/>
      <c r="G41" s="7"/>
      <c r="H41" s="7"/>
      <c r="I41" s="7"/>
      <c r="J41" s="7"/>
      <c r="K41" s="7"/>
      <c r="L41" s="7"/>
      <c r="M41" s="7"/>
      <c r="N41" s="7"/>
      <c r="O41" s="7"/>
      <c r="P41" s="7"/>
      <c r="Q41" s="7"/>
      <c r="R41" s="7"/>
      <c r="S41" s="7"/>
      <c r="T41" s="7"/>
      <c r="U41" s="7"/>
      <c r="V41" s="7"/>
      <c r="W41" s="7"/>
      <c r="X41" s="7"/>
      <c r="Y41" s="7"/>
      <c r="Z41" s="7"/>
    </row>
    <row r="42" ht="16.6" customHeight="1">
      <c r="A42" s="66"/>
      <c r="B42" s="69"/>
      <c r="C42" s="66"/>
      <c r="D42" s="66"/>
      <c r="E42" s="66"/>
      <c r="F42" s="65"/>
      <c r="G42" s="7"/>
      <c r="H42" s="7"/>
      <c r="I42" s="7"/>
      <c r="J42" s="7"/>
      <c r="K42" s="7"/>
      <c r="L42" s="7"/>
      <c r="M42" s="7"/>
      <c r="N42" s="7"/>
      <c r="O42" s="7"/>
      <c r="P42" s="7"/>
      <c r="Q42" s="7"/>
      <c r="R42" s="7"/>
      <c r="S42" s="7"/>
      <c r="T42" s="7"/>
      <c r="U42" s="7"/>
      <c r="V42" s="7"/>
      <c r="W42" s="7"/>
      <c r="X42" s="7"/>
      <c r="Y42" s="7"/>
      <c r="Z42" s="7"/>
    </row>
    <row r="43" ht="16.6" customHeight="1">
      <c r="A43" s="66"/>
      <c r="B43" s="69"/>
      <c r="C43" s="66"/>
      <c r="D43" s="66"/>
      <c r="E43" s="66"/>
      <c r="F43" s="65"/>
      <c r="G43" s="7"/>
      <c r="H43" s="7"/>
      <c r="I43" s="7"/>
      <c r="J43" s="7"/>
      <c r="K43" s="7"/>
      <c r="L43" s="7"/>
      <c r="M43" s="7"/>
      <c r="N43" s="7"/>
      <c r="O43" s="7"/>
      <c r="P43" s="7"/>
      <c r="Q43" s="7"/>
      <c r="R43" s="7"/>
      <c r="S43" s="7"/>
      <c r="T43" s="7"/>
      <c r="U43" s="7"/>
      <c r="V43" s="7"/>
      <c r="W43" s="7"/>
      <c r="X43" s="7"/>
      <c r="Y43" s="7"/>
      <c r="Z43" s="7"/>
    </row>
    <row r="44" ht="16.6" customHeight="1">
      <c r="A44" s="66"/>
      <c r="B44" s="69"/>
      <c r="C44" s="66"/>
      <c r="D44" s="66"/>
      <c r="E44" s="66"/>
      <c r="F44" s="65"/>
      <c r="G44" s="7"/>
      <c r="H44" s="7"/>
      <c r="I44" s="7"/>
      <c r="J44" s="7"/>
      <c r="K44" s="7"/>
      <c r="L44" s="7"/>
      <c r="M44" s="7"/>
      <c r="N44" s="7"/>
      <c r="O44" s="7"/>
      <c r="P44" s="7"/>
      <c r="Q44" s="7"/>
      <c r="R44" s="7"/>
      <c r="S44" s="7"/>
      <c r="T44" s="7"/>
      <c r="U44" s="7"/>
      <c r="V44" s="7"/>
      <c r="W44" s="7"/>
      <c r="X44" s="7"/>
      <c r="Y44" s="7"/>
      <c r="Z44" s="7"/>
    </row>
    <row r="45" ht="16.6" customHeight="1">
      <c r="A45" s="66"/>
      <c r="B45" s="69"/>
      <c r="C45" s="66"/>
      <c r="D45" s="66"/>
      <c r="E45" s="66"/>
      <c r="F45" s="65"/>
      <c r="G45" s="7"/>
      <c r="H45" s="7"/>
      <c r="I45" s="7"/>
      <c r="J45" s="7"/>
      <c r="K45" s="7"/>
      <c r="L45" s="7"/>
      <c r="M45" s="7"/>
      <c r="N45" s="7"/>
      <c r="O45" s="7"/>
      <c r="P45" s="7"/>
      <c r="Q45" s="7"/>
      <c r="R45" s="7"/>
      <c r="S45" s="7"/>
      <c r="T45" s="7"/>
      <c r="U45" s="7"/>
      <c r="V45" s="7"/>
      <c r="W45" s="7"/>
      <c r="X45" s="7"/>
      <c r="Y45" s="7"/>
      <c r="Z45" s="7"/>
    </row>
    <row r="46" ht="16.6" customHeight="1">
      <c r="A46" s="66"/>
      <c r="B46" s="69"/>
      <c r="C46" s="66"/>
      <c r="D46" s="66"/>
      <c r="E46" s="66"/>
      <c r="F46" s="65"/>
      <c r="G46" s="7"/>
      <c r="H46" s="7"/>
      <c r="I46" s="7"/>
      <c r="J46" s="7"/>
      <c r="K46" s="7"/>
      <c r="L46" s="7"/>
      <c r="M46" s="7"/>
      <c r="N46" s="7"/>
      <c r="O46" s="7"/>
      <c r="P46" s="7"/>
      <c r="Q46" s="7"/>
      <c r="R46" s="7"/>
      <c r="S46" s="7"/>
      <c r="T46" s="7"/>
      <c r="U46" s="7"/>
      <c r="V46" s="7"/>
      <c r="W46" s="7"/>
      <c r="X46" s="7"/>
      <c r="Y46" s="7"/>
      <c r="Z46" s="7"/>
    </row>
    <row r="47" ht="16.6" customHeight="1">
      <c r="A47" s="66"/>
      <c r="B47" s="69"/>
      <c r="C47" s="66"/>
      <c r="D47" s="66"/>
      <c r="E47" s="66"/>
      <c r="F47" s="65"/>
      <c r="G47" s="7"/>
      <c r="H47" s="7"/>
      <c r="I47" s="7"/>
      <c r="J47" s="7"/>
      <c r="K47" s="7"/>
      <c r="L47" s="7"/>
      <c r="M47" s="7"/>
      <c r="N47" s="7"/>
      <c r="O47" s="7"/>
      <c r="P47" s="7"/>
      <c r="Q47" s="7"/>
      <c r="R47" s="7"/>
      <c r="S47" s="7"/>
      <c r="T47" s="7"/>
      <c r="U47" s="7"/>
      <c r="V47" s="7"/>
      <c r="W47" s="7"/>
      <c r="X47" s="7"/>
      <c r="Y47" s="7"/>
      <c r="Z47" s="7"/>
    </row>
    <row r="48" ht="16.6" customHeight="1">
      <c r="A48" s="66"/>
      <c r="B48" s="69"/>
      <c r="C48" s="69"/>
      <c r="D48" s="66"/>
      <c r="E48" s="66"/>
      <c r="F48" s="65"/>
      <c r="G48" s="7"/>
      <c r="H48" s="7"/>
      <c r="I48" s="7"/>
      <c r="J48" s="7"/>
      <c r="K48" s="7"/>
      <c r="L48" s="7"/>
      <c r="M48" s="7"/>
      <c r="N48" s="7"/>
      <c r="O48" s="7"/>
      <c r="P48" s="7"/>
      <c r="Q48" s="7"/>
      <c r="R48" s="7"/>
      <c r="S48" s="7"/>
      <c r="T48" s="7"/>
      <c r="U48" s="7"/>
      <c r="V48" s="7"/>
      <c r="W48" s="7"/>
      <c r="X48" s="7"/>
      <c r="Y48" s="7"/>
      <c r="Z48" s="7"/>
    </row>
    <row r="49" ht="16.6" customHeight="1">
      <c r="A49" s="66"/>
      <c r="B49" s="69"/>
      <c r="C49" s="66"/>
      <c r="D49" s="66"/>
      <c r="E49" s="66"/>
      <c r="F49" s="65"/>
      <c r="G49" s="7"/>
      <c r="H49" s="7"/>
      <c r="I49" s="7"/>
      <c r="J49" s="7"/>
      <c r="K49" s="7"/>
      <c r="L49" s="7"/>
      <c r="M49" s="7"/>
      <c r="N49" s="7"/>
      <c r="O49" s="7"/>
      <c r="P49" s="7"/>
      <c r="Q49" s="7"/>
      <c r="R49" s="7"/>
      <c r="S49" s="7"/>
      <c r="T49" s="7"/>
      <c r="U49" s="7"/>
      <c r="V49" s="7"/>
      <c r="W49" s="7"/>
      <c r="X49" s="7"/>
      <c r="Y49" s="7"/>
      <c r="Z49" s="7"/>
    </row>
    <row r="50" ht="16.6" customHeight="1">
      <c r="A50" s="66"/>
      <c r="B50" s="69"/>
      <c r="C50" s="66"/>
      <c r="D50" s="66"/>
      <c r="E50" s="66"/>
      <c r="F50" s="65"/>
      <c r="G50" s="7"/>
      <c r="H50" s="7"/>
      <c r="I50" s="7"/>
      <c r="J50" s="7"/>
      <c r="K50" s="7"/>
      <c r="L50" s="7"/>
      <c r="M50" s="7"/>
      <c r="N50" s="7"/>
      <c r="O50" s="7"/>
      <c r="P50" s="7"/>
      <c r="Q50" s="7"/>
      <c r="R50" s="7"/>
      <c r="S50" s="7"/>
      <c r="T50" s="7"/>
      <c r="U50" s="7"/>
      <c r="V50" s="7"/>
      <c r="W50" s="7"/>
      <c r="X50" s="7"/>
      <c r="Y50" s="7"/>
      <c r="Z50" s="7"/>
    </row>
    <row r="51" ht="16.6" customHeight="1">
      <c r="A51" s="66"/>
      <c r="B51" s="69"/>
      <c r="C51" s="66"/>
      <c r="D51" s="66"/>
      <c r="E51" s="66"/>
      <c r="F51" s="65"/>
      <c r="G51" s="7"/>
      <c r="H51" s="7"/>
      <c r="I51" s="7"/>
      <c r="J51" s="7"/>
      <c r="K51" s="7"/>
      <c r="L51" s="7"/>
      <c r="M51" s="7"/>
      <c r="N51" s="7"/>
      <c r="O51" s="7"/>
      <c r="P51" s="7"/>
      <c r="Q51" s="7"/>
      <c r="R51" s="7"/>
      <c r="S51" s="7"/>
      <c r="T51" s="7"/>
      <c r="U51" s="7"/>
      <c r="V51" s="7"/>
      <c r="W51" s="7"/>
      <c r="X51" s="7"/>
      <c r="Y51" s="7"/>
      <c r="Z51" s="7"/>
    </row>
    <row r="52" ht="16.6" customHeight="1">
      <c r="A52" s="66"/>
      <c r="B52" s="69"/>
      <c r="C52" s="66"/>
      <c r="D52" s="66"/>
      <c r="E52" s="66"/>
      <c r="F52" s="65"/>
      <c r="G52" s="7"/>
      <c r="H52" s="7"/>
      <c r="I52" s="7"/>
      <c r="J52" s="7"/>
      <c r="K52" s="7"/>
      <c r="L52" s="7"/>
      <c r="M52" s="7"/>
      <c r="N52" s="7"/>
      <c r="O52" s="7"/>
      <c r="P52" s="7"/>
      <c r="Q52" s="7"/>
      <c r="R52" s="7"/>
      <c r="S52" s="7"/>
      <c r="T52" s="7"/>
      <c r="U52" s="7"/>
      <c r="V52" s="7"/>
      <c r="W52" s="7"/>
      <c r="X52" s="7"/>
      <c r="Y52" s="7"/>
      <c r="Z52" s="7"/>
    </row>
    <row r="53" ht="16.6" customHeight="1">
      <c r="A53" s="66"/>
      <c r="B53" s="69"/>
      <c r="C53" s="66"/>
      <c r="D53" s="66"/>
      <c r="E53" s="66"/>
      <c r="F53" s="65"/>
      <c r="G53" s="7"/>
      <c r="H53" s="7"/>
      <c r="I53" s="7"/>
      <c r="J53" s="7"/>
      <c r="K53" s="7"/>
      <c r="L53" s="7"/>
      <c r="M53" s="7"/>
      <c r="N53" s="7"/>
      <c r="O53" s="7"/>
      <c r="P53" s="7"/>
      <c r="Q53" s="7"/>
      <c r="R53" s="7"/>
      <c r="S53" s="7"/>
      <c r="T53" s="7"/>
      <c r="U53" s="7"/>
      <c r="V53" s="7"/>
      <c r="W53" s="7"/>
      <c r="X53" s="7"/>
      <c r="Y53" s="7"/>
      <c r="Z53" s="7"/>
    </row>
    <row r="54" ht="16.6" customHeight="1">
      <c r="A54" s="66"/>
      <c r="B54" s="69"/>
      <c r="C54" s="66"/>
      <c r="D54" s="66"/>
      <c r="E54" s="66"/>
      <c r="F54" s="65"/>
      <c r="G54" s="7"/>
      <c r="H54" s="7"/>
      <c r="I54" s="7"/>
      <c r="J54" s="7"/>
      <c r="K54" s="7"/>
      <c r="L54" s="7"/>
      <c r="M54" s="7"/>
      <c r="N54" s="7"/>
      <c r="O54" s="7"/>
      <c r="P54" s="7"/>
      <c r="Q54" s="7"/>
      <c r="R54" s="7"/>
      <c r="S54" s="7"/>
      <c r="T54" s="7"/>
      <c r="U54" s="7"/>
      <c r="V54" s="7"/>
      <c r="W54" s="7"/>
      <c r="X54" s="7"/>
      <c r="Y54" s="7"/>
      <c r="Z54" s="7"/>
    </row>
    <row r="55" ht="16.6" customHeight="1">
      <c r="A55" s="66"/>
      <c r="B55" s="69"/>
      <c r="C55" s="66"/>
      <c r="D55" s="66"/>
      <c r="E55" s="66"/>
      <c r="F55" s="90"/>
      <c r="G55" s="7"/>
      <c r="H55" s="7"/>
      <c r="I55" s="7"/>
      <c r="J55" s="7"/>
      <c r="K55" s="7"/>
      <c r="L55" s="7"/>
      <c r="M55" s="7"/>
      <c r="N55" s="7"/>
      <c r="O55" s="7"/>
      <c r="P55" s="7"/>
      <c r="Q55" s="7"/>
      <c r="R55" s="7"/>
      <c r="S55" s="7"/>
      <c r="T55" s="7"/>
      <c r="U55" s="7"/>
      <c r="V55" s="7"/>
      <c r="W55" s="7"/>
      <c r="X55" s="7"/>
      <c r="Y55" s="7"/>
      <c r="Z55" s="7"/>
    </row>
    <row r="56" ht="16.6" customHeight="1">
      <c r="A56" s="66"/>
      <c r="B56" s="69"/>
      <c r="C56" s="66"/>
      <c r="D56" s="66"/>
      <c r="E56" s="66"/>
      <c r="F56" s="90"/>
      <c r="G56" s="7"/>
      <c r="H56" s="7"/>
      <c r="I56" s="7"/>
      <c r="J56" s="7"/>
      <c r="K56" s="7"/>
      <c r="L56" s="7"/>
      <c r="M56" s="7"/>
      <c r="N56" s="7"/>
      <c r="O56" s="7"/>
      <c r="P56" s="7"/>
      <c r="Q56" s="7"/>
      <c r="R56" s="7"/>
      <c r="S56" s="7"/>
      <c r="T56" s="7"/>
      <c r="U56" s="7"/>
      <c r="V56" s="7"/>
      <c r="W56" s="7"/>
      <c r="X56" s="7"/>
      <c r="Y56" s="7"/>
      <c r="Z56" s="7"/>
    </row>
    <row r="57" ht="16.6" customHeight="1">
      <c r="A57" s="66"/>
      <c r="B57" s="69"/>
      <c r="C57" s="66"/>
      <c r="D57" s="66"/>
      <c r="E57" s="66"/>
      <c r="F57" s="90"/>
      <c r="G57" s="7"/>
      <c r="H57" s="7"/>
      <c r="I57" s="7"/>
      <c r="J57" s="7"/>
      <c r="K57" s="7"/>
      <c r="L57" s="7"/>
      <c r="M57" s="7"/>
      <c r="N57" s="7"/>
      <c r="O57" s="7"/>
      <c r="P57" s="7"/>
      <c r="Q57" s="7"/>
      <c r="R57" s="7"/>
      <c r="S57" s="7"/>
      <c r="T57" s="7"/>
      <c r="U57" s="7"/>
      <c r="V57" s="7"/>
      <c r="W57" s="7"/>
      <c r="X57" s="7"/>
      <c r="Y57" s="7"/>
      <c r="Z57" s="7"/>
    </row>
    <row r="58" ht="16.6" customHeight="1">
      <c r="A58" s="66"/>
      <c r="B58" s="69"/>
      <c r="C58" s="66"/>
      <c r="D58" s="66"/>
      <c r="E58" s="66"/>
      <c r="F58" s="90"/>
      <c r="G58" s="7"/>
      <c r="H58" s="7"/>
      <c r="I58" s="7"/>
      <c r="J58" s="7"/>
      <c r="K58" s="7"/>
      <c r="L58" s="7"/>
      <c r="M58" s="7"/>
      <c r="N58" s="7"/>
      <c r="O58" s="7"/>
      <c r="P58" s="7"/>
      <c r="Q58" s="7"/>
      <c r="R58" s="7"/>
      <c r="S58" s="7"/>
      <c r="T58" s="7"/>
      <c r="U58" s="7"/>
      <c r="V58" s="7"/>
      <c r="W58" s="7"/>
      <c r="X58" s="7"/>
      <c r="Y58" s="7"/>
      <c r="Z58" s="7"/>
    </row>
    <row r="59" ht="16.6" customHeight="1">
      <c r="A59" s="66"/>
      <c r="B59" s="69"/>
      <c r="C59" s="66"/>
      <c r="D59" s="66"/>
      <c r="E59" s="66"/>
      <c r="F59" s="90"/>
      <c r="G59" s="7"/>
      <c r="H59" s="7"/>
      <c r="I59" s="7"/>
      <c r="J59" s="7"/>
      <c r="K59" s="7"/>
      <c r="L59" s="7"/>
      <c r="M59" s="7"/>
      <c r="N59" s="7"/>
      <c r="O59" s="7"/>
      <c r="P59" s="7"/>
      <c r="Q59" s="7"/>
      <c r="R59" s="7"/>
      <c r="S59" s="7"/>
      <c r="T59" s="7"/>
      <c r="U59" s="7"/>
      <c r="V59" s="7"/>
      <c r="W59" s="7"/>
      <c r="X59" s="7"/>
      <c r="Y59" s="7"/>
      <c r="Z59" s="7"/>
    </row>
    <row r="60" ht="16.6" customHeight="1">
      <c r="A60" s="66"/>
      <c r="B60" s="69"/>
      <c r="C60" s="66"/>
      <c r="D60" s="66"/>
      <c r="E60" s="66"/>
      <c r="F60" s="90"/>
      <c r="G60" s="7"/>
      <c r="H60" s="7"/>
      <c r="I60" s="7"/>
      <c r="J60" s="7"/>
      <c r="K60" s="7"/>
      <c r="L60" s="7"/>
      <c r="M60" s="7"/>
      <c r="N60" s="7"/>
      <c r="O60" s="7"/>
      <c r="P60" s="7"/>
      <c r="Q60" s="7"/>
      <c r="R60" s="7"/>
      <c r="S60" s="7"/>
      <c r="T60" s="7"/>
      <c r="U60" s="7"/>
      <c r="V60" s="7"/>
      <c r="W60" s="7"/>
      <c r="X60" s="7"/>
      <c r="Y60" s="7"/>
      <c r="Z60" s="7"/>
    </row>
    <row r="61" ht="16.6" customHeight="1">
      <c r="A61" s="66"/>
      <c r="B61" s="69"/>
      <c r="C61" s="66"/>
      <c r="D61" s="66"/>
      <c r="E61" s="66"/>
      <c r="F61" s="90"/>
      <c r="G61" s="7"/>
      <c r="H61" s="7"/>
      <c r="I61" s="7"/>
      <c r="J61" s="7"/>
      <c r="K61" s="7"/>
      <c r="L61" s="7"/>
      <c r="M61" s="7"/>
      <c r="N61" s="7"/>
      <c r="O61" s="7"/>
      <c r="P61" s="7"/>
      <c r="Q61" s="7"/>
      <c r="R61" s="7"/>
      <c r="S61" s="7"/>
      <c r="T61" s="7"/>
      <c r="U61" s="7"/>
      <c r="V61" s="7"/>
      <c r="W61" s="7"/>
      <c r="X61" s="7"/>
      <c r="Y61" s="7"/>
      <c r="Z61" s="7"/>
    </row>
    <row r="62" ht="16.6" customHeight="1">
      <c r="A62" s="66"/>
      <c r="B62" s="69"/>
      <c r="C62" s="66"/>
      <c r="D62" s="66"/>
      <c r="E62" s="66"/>
      <c r="F62" s="90"/>
      <c r="G62" s="7"/>
      <c r="H62" s="7"/>
      <c r="I62" s="7"/>
      <c r="J62" s="7"/>
      <c r="K62" s="7"/>
      <c r="L62" s="7"/>
      <c r="M62" s="7"/>
      <c r="N62" s="7"/>
      <c r="O62" s="7"/>
      <c r="P62" s="7"/>
      <c r="Q62" s="7"/>
      <c r="R62" s="7"/>
      <c r="S62" s="7"/>
      <c r="T62" s="7"/>
      <c r="U62" s="7"/>
      <c r="V62" s="7"/>
      <c r="W62" s="7"/>
      <c r="X62" s="7"/>
      <c r="Y62" s="7"/>
      <c r="Z62" s="7"/>
    </row>
    <row r="63" ht="16.6" customHeight="1">
      <c r="A63" s="66"/>
      <c r="B63" s="69"/>
      <c r="C63" s="66"/>
      <c r="D63" s="66"/>
      <c r="E63" s="66"/>
      <c r="F63" s="90"/>
      <c r="G63" s="7"/>
      <c r="H63" s="7"/>
      <c r="I63" s="7"/>
      <c r="J63" s="7"/>
      <c r="K63" s="7"/>
      <c r="L63" s="7"/>
      <c r="M63" s="7"/>
      <c r="N63" s="7"/>
      <c r="O63" s="7"/>
      <c r="P63" s="7"/>
      <c r="Q63" s="7"/>
      <c r="R63" s="7"/>
      <c r="S63" s="7"/>
      <c r="T63" s="7"/>
      <c r="U63" s="7"/>
      <c r="V63" s="7"/>
      <c r="W63" s="7"/>
      <c r="X63" s="7"/>
      <c r="Y63" s="7"/>
      <c r="Z63" s="7"/>
    </row>
    <row r="64" ht="16.6" customHeight="1">
      <c r="A64" s="66"/>
      <c r="B64" s="69"/>
      <c r="C64" s="66"/>
      <c r="D64" s="66"/>
      <c r="E64" s="66"/>
      <c r="F64" s="90"/>
      <c r="G64" s="7"/>
      <c r="H64" s="7"/>
      <c r="I64" s="7"/>
      <c r="J64" s="7"/>
      <c r="K64" s="7"/>
      <c r="L64" s="7"/>
      <c r="M64" s="7"/>
      <c r="N64" s="7"/>
      <c r="O64" s="7"/>
      <c r="P64" s="7"/>
      <c r="Q64" s="7"/>
      <c r="R64" s="7"/>
      <c r="S64" s="7"/>
      <c r="T64" s="7"/>
      <c r="U64" s="7"/>
      <c r="V64" s="7"/>
      <c r="W64" s="7"/>
      <c r="X64" s="7"/>
      <c r="Y64" s="7"/>
      <c r="Z64" s="7"/>
    </row>
    <row r="65" ht="16.6" customHeight="1">
      <c r="A65" s="66"/>
      <c r="B65" s="69"/>
      <c r="C65" s="7"/>
      <c r="D65" s="66"/>
      <c r="E65" s="66"/>
      <c r="F65" s="90"/>
      <c r="G65" s="7"/>
      <c r="H65" s="7"/>
      <c r="I65" s="7"/>
      <c r="J65" s="7"/>
      <c r="K65" s="7"/>
      <c r="L65" s="7"/>
      <c r="M65" s="7"/>
      <c r="N65" s="7"/>
      <c r="O65" s="7"/>
      <c r="P65" s="7"/>
      <c r="Q65" s="7"/>
      <c r="R65" s="7"/>
      <c r="S65" s="7"/>
      <c r="T65" s="7"/>
      <c r="U65" s="7"/>
      <c r="V65" s="7"/>
      <c r="W65" s="7"/>
      <c r="X65" s="7"/>
      <c r="Y65" s="7"/>
      <c r="Z65" s="7"/>
    </row>
    <row r="66" ht="16.6" customHeight="1">
      <c r="A66" s="66"/>
      <c r="B66" s="67"/>
      <c r="C66" s="66"/>
      <c r="D66" s="66"/>
      <c r="E66" s="66"/>
      <c r="F66" s="90"/>
      <c r="G66" s="7"/>
      <c r="H66" s="7"/>
      <c r="I66" s="7"/>
      <c r="J66" s="7"/>
      <c r="K66" s="7"/>
      <c r="L66" s="7"/>
      <c r="M66" s="7"/>
      <c r="N66" s="7"/>
      <c r="O66" s="7"/>
      <c r="P66" s="7"/>
      <c r="Q66" s="7"/>
      <c r="R66" s="7"/>
      <c r="S66" s="7"/>
      <c r="T66" s="7"/>
      <c r="U66" s="7"/>
      <c r="V66" s="7"/>
      <c r="W66" s="7"/>
      <c r="X66" s="7"/>
      <c r="Y66" s="7"/>
      <c r="Z66" s="7"/>
    </row>
    <row r="67" ht="16.6" customHeight="1">
      <c r="A67" s="66"/>
      <c r="B67" s="69"/>
      <c r="C67" s="66"/>
      <c r="D67" s="66"/>
      <c r="E67" s="75"/>
      <c r="F67" s="65"/>
      <c r="G67" s="7"/>
      <c r="H67" s="7"/>
      <c r="I67" s="7"/>
      <c r="J67" s="7"/>
      <c r="K67" s="7"/>
      <c r="L67" s="7"/>
      <c r="M67" s="7"/>
      <c r="N67" s="7"/>
      <c r="O67" s="7"/>
      <c r="P67" s="7"/>
      <c r="Q67" s="7"/>
      <c r="R67" s="7"/>
      <c r="S67" s="7"/>
      <c r="T67" s="7"/>
      <c r="U67" s="7"/>
      <c r="V67" s="7"/>
      <c r="W67" s="7"/>
      <c r="X67" s="7"/>
      <c r="Y67" s="7"/>
      <c r="Z67" s="7"/>
    </row>
    <row r="68" ht="16.6" customHeight="1">
      <c r="A68" s="66"/>
      <c r="B68" s="69"/>
      <c r="C68" s="66"/>
      <c r="D68" s="66"/>
      <c r="E68" s="75"/>
      <c r="F68" s="65"/>
      <c r="G68" s="7"/>
      <c r="H68" s="7"/>
      <c r="I68" s="7"/>
      <c r="J68" s="7"/>
      <c r="K68" s="7"/>
      <c r="L68" s="7"/>
      <c r="M68" s="7"/>
      <c r="N68" s="7"/>
      <c r="O68" s="7"/>
      <c r="P68" s="7"/>
      <c r="Q68" s="7"/>
      <c r="R68" s="7"/>
      <c r="S68" s="7"/>
      <c r="T68" s="7"/>
      <c r="U68" s="7"/>
      <c r="V68" s="7"/>
      <c r="W68" s="7"/>
      <c r="X68" s="7"/>
      <c r="Y68" s="7"/>
      <c r="Z68" s="7"/>
    </row>
    <row r="69" ht="16.6" customHeight="1">
      <c r="A69" s="66"/>
      <c r="B69" s="69"/>
      <c r="C69" s="66"/>
      <c r="D69" s="66"/>
      <c r="E69" s="75"/>
      <c r="F69" s="65"/>
      <c r="G69" s="7"/>
      <c r="H69" s="7"/>
      <c r="I69" s="7"/>
      <c r="J69" s="7"/>
      <c r="K69" s="7"/>
      <c r="L69" s="7"/>
      <c r="M69" s="7"/>
      <c r="N69" s="7"/>
      <c r="O69" s="7"/>
      <c r="P69" s="7"/>
      <c r="Q69" s="7"/>
      <c r="R69" s="7"/>
      <c r="S69" s="7"/>
      <c r="T69" s="7"/>
      <c r="U69" s="7"/>
      <c r="V69" s="7"/>
      <c r="W69" s="7"/>
      <c r="X69" s="7"/>
      <c r="Y69" s="7"/>
      <c r="Z69" s="7"/>
    </row>
    <row r="70" ht="16.6" customHeight="1">
      <c r="A70" s="66"/>
      <c r="B70" s="69"/>
      <c r="C70" s="66"/>
      <c r="D70" s="66"/>
      <c r="E70" s="75"/>
      <c r="F70" s="65"/>
      <c r="G70" s="7"/>
      <c r="H70" s="7"/>
      <c r="I70" s="7"/>
      <c r="J70" s="7"/>
      <c r="K70" s="7"/>
      <c r="L70" s="7"/>
      <c r="M70" s="7"/>
      <c r="N70" s="7"/>
      <c r="O70" s="7"/>
      <c r="P70" s="7"/>
      <c r="Q70" s="7"/>
      <c r="R70" s="7"/>
      <c r="S70" s="7"/>
      <c r="T70" s="7"/>
      <c r="U70" s="7"/>
      <c r="V70" s="7"/>
      <c r="W70" s="7"/>
      <c r="X70" s="7"/>
      <c r="Y70" s="7"/>
      <c r="Z70" s="7"/>
    </row>
    <row r="71" ht="16.6" customHeight="1">
      <c r="A71" s="66"/>
      <c r="B71" s="69"/>
      <c r="C71" s="66"/>
      <c r="D71" s="66"/>
      <c r="E71" s="75"/>
      <c r="F71" s="65"/>
      <c r="G71" s="7"/>
      <c r="H71" s="7"/>
      <c r="I71" s="7"/>
      <c r="J71" s="7"/>
      <c r="K71" s="7"/>
      <c r="L71" s="7"/>
      <c r="M71" s="7"/>
      <c r="N71" s="7"/>
      <c r="O71" s="7"/>
      <c r="P71" s="7"/>
      <c r="Q71" s="7"/>
      <c r="R71" s="7"/>
      <c r="S71" s="7"/>
      <c r="T71" s="7"/>
      <c r="U71" s="7"/>
      <c r="V71" s="7"/>
      <c r="W71" s="7"/>
      <c r="X71" s="7"/>
      <c r="Y71" s="7"/>
      <c r="Z71" s="7"/>
    </row>
    <row r="72" ht="12.75" customHeight="1">
      <c r="A72" s="66"/>
      <c r="B72" s="69"/>
      <c r="C72" s="66"/>
      <c r="D72" s="66"/>
      <c r="E72" s="75"/>
      <c r="F72" s="65"/>
      <c r="G72" s="7"/>
      <c r="H72" s="7"/>
      <c r="I72" s="7"/>
      <c r="J72" s="7"/>
      <c r="K72" s="7"/>
      <c r="L72" s="7"/>
      <c r="M72" s="7"/>
      <c r="N72" s="7"/>
      <c r="O72" s="7"/>
      <c r="P72" s="7"/>
      <c r="Q72" s="7"/>
      <c r="R72" s="7"/>
      <c r="S72" s="7"/>
      <c r="T72" s="7"/>
      <c r="U72" s="7"/>
      <c r="V72" s="7"/>
      <c r="W72" s="7"/>
      <c r="X72" s="7"/>
      <c r="Y72" s="7"/>
      <c r="Z72" s="7"/>
    </row>
    <row r="73" ht="12.75" customHeight="1">
      <c r="A73" s="66"/>
      <c r="B73" s="69"/>
      <c r="C73" s="66"/>
      <c r="D73" s="66"/>
      <c r="E73" s="75"/>
      <c r="F73" s="65"/>
      <c r="G73" s="7"/>
      <c r="H73" s="7"/>
      <c r="I73" s="7"/>
      <c r="J73" s="7"/>
      <c r="K73" s="7"/>
      <c r="L73" s="7"/>
      <c r="M73" s="7"/>
      <c r="N73" s="7"/>
      <c r="O73" s="7"/>
      <c r="P73" s="7"/>
      <c r="Q73" s="7"/>
      <c r="R73" s="7"/>
      <c r="S73" s="7"/>
      <c r="T73" s="7"/>
      <c r="U73" s="7"/>
      <c r="V73" s="7"/>
      <c r="W73" s="7"/>
      <c r="X73" s="7"/>
      <c r="Y73" s="7"/>
      <c r="Z73" s="7"/>
    </row>
    <row r="74" ht="12.75" customHeight="1">
      <c r="A74" s="66"/>
      <c r="B74" s="69"/>
      <c r="C74" s="66"/>
      <c r="D74" s="66"/>
      <c r="E74" s="75"/>
      <c r="F74" s="65"/>
      <c r="G74" s="7"/>
      <c r="H74" s="7"/>
      <c r="I74" s="7"/>
      <c r="J74" s="7"/>
      <c r="K74" s="7"/>
      <c r="L74" s="7"/>
      <c r="M74" s="7"/>
      <c r="N74" s="7"/>
      <c r="O74" s="7"/>
      <c r="P74" s="7"/>
      <c r="Q74" s="7"/>
      <c r="R74" s="7"/>
      <c r="S74" s="7"/>
      <c r="T74" s="7"/>
      <c r="U74" s="7"/>
      <c r="V74" s="7"/>
      <c r="W74" s="7"/>
      <c r="X74" s="7"/>
      <c r="Y74" s="7"/>
      <c r="Z74" s="7"/>
    </row>
    <row r="75" ht="12.75" customHeight="1">
      <c r="A75" s="66"/>
      <c r="B75" s="69"/>
      <c r="C75" s="66"/>
      <c r="D75" s="66"/>
      <c r="E75" s="75"/>
      <c r="F75" s="65"/>
      <c r="G75" s="7"/>
      <c r="H75" s="7"/>
      <c r="I75" s="7"/>
      <c r="J75" s="7"/>
      <c r="K75" s="7"/>
      <c r="L75" s="7"/>
      <c r="M75" s="7"/>
      <c r="N75" s="7"/>
      <c r="O75" s="7"/>
      <c r="P75" s="7"/>
      <c r="Q75" s="7"/>
      <c r="R75" s="7"/>
      <c r="S75" s="7"/>
      <c r="T75" s="7"/>
      <c r="U75" s="7"/>
      <c r="V75" s="7"/>
      <c r="W75" s="7"/>
      <c r="X75" s="7"/>
      <c r="Y75" s="7"/>
      <c r="Z75" s="7"/>
    </row>
    <row r="76" ht="12.75" customHeight="1">
      <c r="A76" s="66"/>
      <c r="B76" s="69"/>
      <c r="C76" s="66"/>
      <c r="D76" s="66"/>
      <c r="E76" s="75"/>
      <c r="F76" s="65"/>
      <c r="G76" s="7"/>
      <c r="H76" s="7"/>
      <c r="I76" s="7"/>
      <c r="J76" s="7"/>
      <c r="K76" s="7"/>
      <c r="L76" s="7"/>
      <c r="M76" s="7"/>
      <c r="N76" s="7"/>
      <c r="O76" s="7"/>
      <c r="P76" s="7"/>
      <c r="Q76" s="7"/>
      <c r="R76" s="7"/>
      <c r="S76" s="7"/>
      <c r="T76" s="7"/>
      <c r="U76" s="7"/>
      <c r="V76" s="7"/>
      <c r="W76" s="7"/>
      <c r="X76" s="7"/>
      <c r="Y76" s="7"/>
      <c r="Z76" s="7"/>
    </row>
    <row r="77" ht="12.75" customHeight="1">
      <c r="A77" s="66"/>
      <c r="B77" s="69"/>
      <c r="C77" s="66"/>
      <c r="D77" s="66"/>
      <c r="E77" s="75"/>
      <c r="F77" s="65"/>
      <c r="G77" s="7"/>
      <c r="H77" s="7"/>
      <c r="I77" s="7"/>
      <c r="J77" s="7"/>
      <c r="K77" s="7"/>
      <c r="L77" s="7"/>
      <c r="M77" s="7"/>
      <c r="N77" s="7"/>
      <c r="O77" s="7"/>
      <c r="P77" s="7"/>
      <c r="Q77" s="7"/>
      <c r="R77" s="7"/>
      <c r="S77" s="7"/>
      <c r="T77" s="7"/>
      <c r="U77" s="7"/>
      <c r="V77" s="7"/>
      <c r="W77" s="7"/>
      <c r="X77" s="7"/>
      <c r="Y77" s="7"/>
      <c r="Z77" s="7"/>
    </row>
    <row r="78" ht="12.75" customHeight="1">
      <c r="A78" s="66"/>
      <c r="B78" s="69"/>
      <c r="C78" s="66"/>
      <c r="D78" s="66"/>
      <c r="E78" s="75"/>
      <c r="F78" s="65"/>
      <c r="G78" s="7"/>
      <c r="H78" s="7"/>
      <c r="I78" s="7"/>
      <c r="J78" s="7"/>
      <c r="K78" s="7"/>
      <c r="L78" s="7"/>
      <c r="M78" s="7"/>
      <c r="N78" s="7"/>
      <c r="O78" s="7"/>
      <c r="P78" s="7"/>
      <c r="Q78" s="7"/>
      <c r="R78" s="7"/>
      <c r="S78" s="7"/>
      <c r="T78" s="7"/>
      <c r="U78" s="7"/>
      <c r="V78" s="7"/>
      <c r="W78" s="7"/>
      <c r="X78" s="7"/>
      <c r="Y78" s="7"/>
      <c r="Z78" s="7"/>
    </row>
    <row r="79" ht="12.75" customHeight="1">
      <c r="A79" s="66"/>
      <c r="B79" s="69"/>
      <c r="C79" s="66"/>
      <c r="D79" s="66"/>
      <c r="E79" s="75"/>
      <c r="F79" s="65"/>
      <c r="G79" s="7"/>
      <c r="H79" s="7"/>
      <c r="I79" s="7"/>
      <c r="J79" s="7"/>
      <c r="K79" s="7"/>
      <c r="L79" s="7"/>
      <c r="M79" s="7"/>
      <c r="N79" s="7"/>
      <c r="O79" s="7"/>
      <c r="P79" s="7"/>
      <c r="Q79" s="7"/>
      <c r="R79" s="7"/>
      <c r="S79" s="7"/>
      <c r="T79" s="7"/>
      <c r="U79" s="7"/>
      <c r="V79" s="7"/>
      <c r="W79" s="7"/>
      <c r="X79" s="7"/>
      <c r="Y79" s="7"/>
      <c r="Z79" s="7"/>
    </row>
    <row r="80" ht="12.75" customHeight="1">
      <c r="A80" s="66"/>
      <c r="B80" s="69"/>
      <c r="C80" s="66"/>
      <c r="D80" s="66"/>
      <c r="E80" s="75"/>
      <c r="F80" s="65"/>
      <c r="G80" s="7"/>
      <c r="H80" s="7"/>
      <c r="I80" s="7"/>
      <c r="J80" s="7"/>
      <c r="K80" s="7"/>
      <c r="L80" s="7"/>
      <c r="M80" s="7"/>
      <c r="N80" s="7"/>
      <c r="O80" s="7"/>
      <c r="P80" s="7"/>
      <c r="Q80" s="7"/>
      <c r="R80" s="7"/>
      <c r="S80" s="7"/>
      <c r="T80" s="7"/>
      <c r="U80" s="7"/>
      <c r="V80" s="7"/>
      <c r="W80" s="7"/>
      <c r="X80" s="7"/>
      <c r="Y80" s="7"/>
      <c r="Z80" s="7"/>
    </row>
    <row r="81" ht="12.75" customHeight="1">
      <c r="A81" s="66"/>
      <c r="B81" s="69"/>
      <c r="C81" s="66"/>
      <c r="D81" s="66"/>
      <c r="E81" s="75"/>
      <c r="F81" s="65"/>
      <c r="G81" s="7"/>
      <c r="H81" s="7"/>
      <c r="I81" s="7"/>
      <c r="J81" s="7"/>
      <c r="K81" s="7"/>
      <c r="L81" s="7"/>
      <c r="M81" s="7"/>
      <c r="N81" s="7"/>
      <c r="O81" s="7"/>
      <c r="P81" s="7"/>
      <c r="Q81" s="7"/>
      <c r="R81" s="7"/>
      <c r="S81" s="7"/>
      <c r="T81" s="7"/>
      <c r="U81" s="7"/>
      <c r="V81" s="7"/>
      <c r="W81" s="7"/>
      <c r="X81" s="7"/>
      <c r="Y81" s="7"/>
      <c r="Z81" s="7"/>
    </row>
    <row r="82" ht="12.75" customHeight="1">
      <c r="A82" s="66"/>
      <c r="B82" s="69"/>
      <c r="C82" s="66"/>
      <c r="D82" s="7"/>
      <c r="E82" s="66"/>
      <c r="F82" s="65"/>
      <c r="G82" s="7"/>
      <c r="H82" s="7"/>
      <c r="I82" s="7"/>
      <c r="J82" s="7"/>
      <c r="K82" s="7"/>
      <c r="L82" s="7"/>
      <c r="M82" s="7"/>
      <c r="N82" s="7"/>
      <c r="O82" s="7"/>
      <c r="P82" s="7"/>
      <c r="Q82" s="7"/>
      <c r="R82" s="7"/>
      <c r="S82" s="7"/>
      <c r="T82" s="7"/>
      <c r="U82" s="7"/>
      <c r="V82" s="7"/>
      <c r="W82" s="7"/>
      <c r="X82" s="7"/>
      <c r="Y82" s="7"/>
      <c r="Z82" s="7"/>
    </row>
    <row r="83" ht="12.75" customHeight="1">
      <c r="A83" s="66"/>
      <c r="B83" s="69"/>
      <c r="C83" s="66"/>
      <c r="D83" s="91"/>
      <c r="E83" s="66"/>
      <c r="F83" s="65"/>
      <c r="G83" s="7"/>
      <c r="H83" s="7"/>
      <c r="I83" s="7"/>
      <c r="J83" s="7"/>
      <c r="K83" s="7"/>
      <c r="L83" s="7"/>
      <c r="M83" s="7"/>
      <c r="N83" s="7"/>
      <c r="O83" s="7"/>
      <c r="P83" s="7"/>
      <c r="Q83" s="7"/>
      <c r="R83" s="7"/>
      <c r="S83" s="7"/>
      <c r="T83" s="7"/>
      <c r="U83" s="7"/>
      <c r="V83" s="7"/>
      <c r="W83" s="7"/>
      <c r="X83" s="7"/>
      <c r="Y83" s="7"/>
      <c r="Z83" s="7"/>
    </row>
    <row r="84" ht="12.75" customHeight="1">
      <c r="A84" s="66"/>
      <c r="B84" s="69"/>
      <c r="C84" s="66"/>
      <c r="D84" s="66"/>
      <c r="E84" s="66"/>
      <c r="F84" s="65"/>
      <c r="G84" s="7"/>
      <c r="H84" s="7"/>
      <c r="I84" s="7"/>
      <c r="J84" s="7"/>
      <c r="K84" s="7"/>
      <c r="L84" s="7"/>
      <c r="M84" s="7"/>
      <c r="N84" s="7"/>
      <c r="O84" s="7"/>
      <c r="P84" s="7"/>
      <c r="Q84" s="7"/>
      <c r="R84" s="7"/>
      <c r="S84" s="7"/>
      <c r="T84" s="7"/>
      <c r="U84" s="7"/>
      <c r="V84" s="7"/>
      <c r="W84" s="7"/>
      <c r="X84" s="7"/>
      <c r="Y84" s="7"/>
      <c r="Z84" s="7"/>
    </row>
    <row r="85" ht="12.75" customHeight="1">
      <c r="A85" s="66"/>
      <c r="B85" s="69"/>
      <c r="C85" s="66"/>
      <c r="D85" s="7"/>
      <c r="E85" s="66"/>
      <c r="F85" s="65"/>
      <c r="G85" s="7"/>
      <c r="H85" s="7"/>
      <c r="I85" s="7"/>
      <c r="J85" s="7"/>
      <c r="K85" s="7"/>
      <c r="L85" s="7"/>
      <c r="M85" s="7"/>
      <c r="N85" s="7"/>
      <c r="O85" s="7"/>
      <c r="P85" s="7"/>
      <c r="Q85" s="7"/>
      <c r="R85" s="7"/>
      <c r="S85" s="7"/>
      <c r="T85" s="7"/>
      <c r="U85" s="7"/>
      <c r="V85" s="7"/>
      <c r="W85" s="7"/>
      <c r="X85" s="7"/>
      <c r="Y85" s="7"/>
      <c r="Z85" s="7"/>
    </row>
    <row r="86" ht="12.75" customHeight="1">
      <c r="A86" s="66"/>
      <c r="B86" s="69"/>
      <c r="C86" s="66"/>
      <c r="D86" s="66"/>
      <c r="E86" s="66"/>
      <c r="F86" s="65"/>
      <c r="G86" s="7"/>
      <c r="H86" s="7"/>
      <c r="I86" s="7"/>
      <c r="J86" s="7"/>
      <c r="K86" s="7"/>
      <c r="L86" s="7"/>
      <c r="M86" s="7"/>
      <c r="N86" s="7"/>
      <c r="O86" s="7"/>
      <c r="P86" s="7"/>
      <c r="Q86" s="7"/>
      <c r="R86" s="7"/>
      <c r="S86" s="7"/>
      <c r="T86" s="7"/>
      <c r="U86" s="7"/>
      <c r="V86" s="7"/>
      <c r="W86" s="7"/>
      <c r="X86" s="7"/>
      <c r="Y86" s="7"/>
      <c r="Z86" s="7"/>
    </row>
    <row r="87" ht="12.75" customHeight="1">
      <c r="A87" s="7"/>
      <c r="B87" s="69"/>
      <c r="C87" s="66"/>
      <c r="D87" s="66"/>
      <c r="E87" s="66"/>
      <c r="F87" s="65"/>
      <c r="G87" s="7"/>
      <c r="H87" s="7"/>
      <c r="I87" s="7"/>
      <c r="J87" s="7"/>
      <c r="K87" s="7"/>
      <c r="L87" s="7"/>
      <c r="M87" s="7"/>
      <c r="N87" s="7"/>
      <c r="O87" s="7"/>
      <c r="P87" s="7"/>
      <c r="Q87" s="7"/>
      <c r="R87" s="7"/>
      <c r="S87" s="7"/>
      <c r="T87" s="7"/>
      <c r="U87" s="7"/>
      <c r="V87" s="7"/>
      <c r="W87" s="7"/>
      <c r="X87" s="7"/>
      <c r="Y87" s="7"/>
      <c r="Z87" s="7"/>
    </row>
    <row r="88" ht="12.75" customHeight="1">
      <c r="A88" s="7"/>
      <c r="B88" s="69"/>
      <c r="C88" s="69"/>
      <c r="D88" s="66"/>
      <c r="E88" s="66"/>
      <c r="F88" s="65"/>
      <c r="G88" s="7"/>
      <c r="H88" s="7"/>
      <c r="I88" s="7"/>
      <c r="J88" s="7"/>
      <c r="K88" s="7"/>
      <c r="L88" s="7"/>
      <c r="M88" s="7"/>
      <c r="N88" s="7"/>
      <c r="O88" s="7"/>
      <c r="P88" s="7"/>
      <c r="Q88" s="7"/>
      <c r="R88" s="7"/>
      <c r="S88" s="7"/>
      <c r="T88" s="7"/>
      <c r="U88" s="7"/>
      <c r="V88" s="7"/>
      <c r="W88" s="7"/>
      <c r="X88" s="7"/>
      <c r="Y88" s="7"/>
      <c r="Z88" s="7"/>
    </row>
    <row r="89" ht="12.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2.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2.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2.75" customHeight="1">
      <c r="A92" s="66"/>
      <c r="B92" s="7"/>
      <c r="C92" s="7"/>
      <c r="D92" s="7"/>
      <c r="E92" s="7"/>
      <c r="F92" s="7"/>
      <c r="G92" s="7"/>
      <c r="H92" s="7"/>
      <c r="I92" s="7"/>
      <c r="J92" s="7"/>
      <c r="K92" s="7"/>
      <c r="L92" s="7"/>
      <c r="M92" s="7"/>
      <c r="N92" s="7"/>
      <c r="O92" s="7"/>
      <c r="P92" s="7"/>
      <c r="Q92" s="7"/>
      <c r="R92" s="7"/>
      <c r="S92" s="7"/>
      <c r="T92" s="7"/>
      <c r="U92" s="7"/>
      <c r="V92" s="7"/>
      <c r="W92" s="7"/>
      <c r="X92" s="7"/>
      <c r="Y92" s="7"/>
      <c r="Z92" s="7"/>
    </row>
    <row r="93" ht="12.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2.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2.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2.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2.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2.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2.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2.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2.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2.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sheetData>
  <conditionalFormatting sqref="F2:F88">
    <cfRule type="cellIs" dxfId="1" priority="1" operator="lessThan" stopIfTrue="1">
      <formula>0</formula>
    </cfRule>
  </conditionalFormatting>
  <hyperlinks>
    <hyperlink ref="B2" r:id="rId1" location="" tooltip="" display="AliExpress"/>
    <hyperlink ref="C2" r:id="rId2" location="" tooltip="" display="No 7 X 10PCS"/>
    <hyperlink ref="B3" r:id="rId3" location="" tooltip="" display="AliExpress"/>
    <hyperlink ref="C3" r:id="rId4" location="" tooltip="" display="2.4g antenna x1"/>
    <hyperlink ref="B4" r:id="rId5" location="" tooltip="" display="AliExpress"/>
    <hyperlink ref="C4" r:id="rId6" location="" tooltip="" display="TN 3.2 No Touch"/>
    <hyperlink ref="B5" r:id="rId7" location="" tooltip="" display="AliExpress"/>
    <hyperlink ref="C5" r:id="rId8" location="" tooltip="" display="For PS4 2PCS"/>
    <hyperlink ref="B6" r:id="rId9" location="" tooltip="" display="AliExpress"/>
    <hyperlink ref="C6" r:id="rId10" location="" tooltip="" display="MTS103 Dark Blue"/>
  </hyperlinks>
  <pageMargins left="0.7875" right="0.7875" top="1.05278" bottom="1.05278" header="0" footer="0"/>
  <pageSetup firstPageNumber="1" fitToHeight="1" fitToWidth="1" scale="100" useFirstPageNumber="0" orientation="portrait" pageOrder="downThenOver"/>
  <headerFooter>
    <oddHeader>&amp;C&amp;"Arial,Regular"&amp;11&amp;K000000ffffffAliExpress</oddHeader>
    <oddFooter>&amp;C&amp;"Arial,Regular"&amp;11&amp;K000000ffffffPage &amp;P</oddFooter>
  </headerFooter>
</worksheet>
</file>

<file path=xl/worksheets/sheet4.xml><?xml version="1.0" encoding="utf-8"?>
<worksheet xmlns:r="http://schemas.openxmlformats.org/officeDocument/2006/relationships" xmlns="http://schemas.openxmlformats.org/spreadsheetml/2006/main">
  <dimension ref="A1:AA56"/>
  <sheetViews>
    <sheetView workbookViewId="0" showGridLines="0" defaultGridColor="1"/>
  </sheetViews>
  <sheetFormatPr defaultColWidth="12.6667" defaultRowHeight="15" customHeight="1" outlineLevelRow="0" outlineLevelCol="0"/>
  <cols>
    <col min="1" max="1" width="60.8516" style="92" customWidth="1"/>
    <col min="2" max="2" width="16.3516" style="92" customWidth="1"/>
    <col min="3" max="3" width="23.1719" style="92" customWidth="1"/>
    <col min="4" max="4" width="17.8516" style="92" customWidth="1"/>
    <col min="5" max="5" width="10.5" style="92" customWidth="1"/>
    <col min="6" max="6" width="15.1719" style="92" customWidth="1"/>
    <col min="7" max="27" width="10.5" style="92" customWidth="1"/>
    <col min="28" max="16384" width="12.6719" style="92" customWidth="1"/>
  </cols>
  <sheetData>
    <row r="1" ht="13.5" customHeight="1">
      <c r="A1" t="s" s="58">
        <v>20</v>
      </c>
      <c r="B1" t="s" s="59">
        <v>13</v>
      </c>
      <c r="C1" t="s" s="59">
        <v>21</v>
      </c>
      <c r="D1" t="s" s="60">
        <v>22</v>
      </c>
      <c r="E1" t="s" s="60">
        <v>23</v>
      </c>
      <c r="F1" t="s" s="60">
        <v>24</v>
      </c>
      <c r="G1" s="7"/>
      <c r="H1" s="7"/>
      <c r="I1" s="7"/>
      <c r="J1" s="7"/>
      <c r="K1" s="7"/>
      <c r="L1" s="7"/>
      <c r="M1" s="7"/>
      <c r="N1" s="7"/>
      <c r="O1" s="7"/>
      <c r="P1" s="7"/>
      <c r="Q1" s="7"/>
      <c r="R1" s="7"/>
      <c r="S1" s="7"/>
      <c r="T1" s="7"/>
      <c r="U1" s="7"/>
      <c r="V1" s="7"/>
      <c r="W1" s="7"/>
      <c r="X1" s="7"/>
      <c r="Y1" s="7"/>
      <c r="Z1" s="7"/>
      <c r="AA1" s="7"/>
    </row>
    <row r="2" ht="16.6" customHeight="1">
      <c r="A2" t="s" s="61">
        <v>38</v>
      </c>
      <c r="B2" t="s" s="93">
        <v>39</v>
      </c>
      <c r="C2" t="s" s="93">
        <v>40</v>
      </c>
      <c r="D2" s="64">
        <v>1.7187</v>
      </c>
      <c r="E2" s="64">
        <v>1</v>
      </c>
      <c r="F2" s="65">
        <f>D2*E2</f>
        <v>1.7187</v>
      </c>
      <c r="G2" s="7"/>
      <c r="H2" s="7"/>
      <c r="I2" s="7"/>
      <c r="J2" s="7"/>
      <c r="K2" s="7"/>
      <c r="L2" s="7"/>
      <c r="M2" s="7"/>
      <c r="N2" s="7"/>
      <c r="O2" s="7"/>
      <c r="P2" s="7"/>
      <c r="Q2" s="7"/>
      <c r="R2" s="7"/>
      <c r="S2" s="7"/>
      <c r="T2" s="7"/>
      <c r="U2" s="7"/>
      <c r="V2" s="7"/>
      <c r="W2" s="7"/>
      <c r="X2" s="7"/>
      <c r="Y2" s="7"/>
      <c r="Z2" s="7"/>
      <c r="AA2" s="7"/>
    </row>
    <row r="3" ht="16.6" customHeight="1">
      <c r="A3" t="s" s="61">
        <v>41</v>
      </c>
      <c r="B3" t="s" s="93">
        <f>B2</f>
        <v>39</v>
      </c>
      <c r="C3" t="s" s="93">
        <v>42</v>
      </c>
      <c r="D3" s="64">
        <v>0.059</v>
      </c>
      <c r="E3" s="64">
        <v>10</v>
      </c>
      <c r="F3" s="65">
        <f>D3*E3</f>
        <v>0.59</v>
      </c>
      <c r="G3" s="7"/>
      <c r="H3" s="7"/>
      <c r="I3" s="7"/>
      <c r="J3" s="7"/>
      <c r="K3" s="7"/>
      <c r="L3" s="7"/>
      <c r="M3" s="7"/>
      <c r="N3" s="7"/>
      <c r="O3" s="7"/>
      <c r="P3" s="7"/>
      <c r="Q3" s="7"/>
      <c r="R3" s="7"/>
      <c r="S3" s="7"/>
      <c r="T3" s="7"/>
      <c r="U3" s="7"/>
      <c r="V3" s="7"/>
      <c r="W3" s="7"/>
      <c r="X3" s="7"/>
      <c r="Y3" s="7"/>
      <c r="Z3" s="7"/>
      <c r="AA3" s="7"/>
    </row>
    <row r="4" ht="16.6" customHeight="1">
      <c r="A4" t="s" s="61">
        <v>43</v>
      </c>
      <c r="B4" t="s" s="93">
        <f>B3</f>
        <v>39</v>
      </c>
      <c r="C4" t="s" s="93">
        <v>44</v>
      </c>
      <c r="D4" s="64">
        <v>2.0451</v>
      </c>
      <c r="E4" s="64">
        <v>2</v>
      </c>
      <c r="F4" s="65">
        <f>D4*E4</f>
        <v>4.0902</v>
      </c>
      <c r="G4" s="7"/>
      <c r="H4" s="7"/>
      <c r="I4" s="7"/>
      <c r="J4" s="7"/>
      <c r="K4" s="7"/>
      <c r="L4" s="7"/>
      <c r="M4" s="7"/>
      <c r="N4" s="7"/>
      <c r="O4" s="7"/>
      <c r="P4" s="7"/>
      <c r="Q4" s="7"/>
      <c r="R4" s="7"/>
      <c r="S4" s="7"/>
      <c r="T4" s="7"/>
      <c r="U4" s="7"/>
      <c r="V4" s="7"/>
      <c r="W4" s="7"/>
      <c r="X4" s="7"/>
      <c r="Y4" s="7"/>
      <c r="Z4" s="7"/>
      <c r="AA4" s="7"/>
    </row>
    <row r="5" ht="16.6" customHeight="1">
      <c r="A5" t="s" s="61">
        <v>45</v>
      </c>
      <c r="B5" t="s" s="93">
        <f>B4</f>
        <v>39</v>
      </c>
      <c r="C5" t="s" s="93">
        <v>46</v>
      </c>
      <c r="D5" s="64">
        <v>0.7744</v>
      </c>
      <c r="E5" s="64">
        <v>2</v>
      </c>
      <c r="F5" s="65">
        <f>D5*E5</f>
        <v>1.5488</v>
      </c>
      <c r="G5" s="7"/>
      <c r="H5" s="7"/>
      <c r="I5" s="7"/>
      <c r="J5" s="7"/>
      <c r="K5" s="7"/>
      <c r="L5" s="7"/>
      <c r="M5" s="7"/>
      <c r="N5" s="7"/>
      <c r="O5" s="7"/>
      <c r="P5" s="7"/>
      <c r="Q5" s="7"/>
      <c r="R5" s="7"/>
      <c r="S5" s="7"/>
      <c r="T5" s="7"/>
      <c r="U5" s="7"/>
      <c r="V5" s="7"/>
      <c r="W5" s="7"/>
      <c r="X5" s="7"/>
      <c r="Y5" s="7"/>
      <c r="Z5" s="7"/>
      <c r="AA5" s="7"/>
    </row>
    <row r="6" ht="16.6" customHeight="1">
      <c r="A6" t="s" s="61">
        <v>47</v>
      </c>
      <c r="B6" t="s" s="93">
        <f>B5</f>
        <v>39</v>
      </c>
      <c r="C6" t="s" s="94">
        <v>48</v>
      </c>
      <c r="D6" s="64">
        <v>0.0315</v>
      </c>
      <c r="E6" s="64">
        <v>10</v>
      </c>
      <c r="F6" s="65">
        <f>D6*E6</f>
        <v>0.315</v>
      </c>
      <c r="G6" s="7"/>
      <c r="H6" s="7"/>
      <c r="I6" s="7"/>
      <c r="J6" s="7"/>
      <c r="K6" s="7"/>
      <c r="L6" s="7"/>
      <c r="M6" s="7"/>
      <c r="N6" s="7"/>
      <c r="O6" s="7"/>
      <c r="P6" s="7"/>
      <c r="Q6" s="7"/>
      <c r="R6" s="7"/>
      <c r="S6" s="7"/>
      <c r="T6" s="7"/>
      <c r="U6" s="7"/>
      <c r="V6" s="7"/>
      <c r="W6" s="7"/>
      <c r="X6" s="7"/>
      <c r="Y6" s="7"/>
      <c r="Z6" s="7"/>
      <c r="AA6" s="7"/>
    </row>
    <row r="7" ht="16.6" customHeight="1">
      <c r="A7" t="s" s="61">
        <v>49</v>
      </c>
      <c r="B7" t="s" s="93">
        <f>B6</f>
        <v>39</v>
      </c>
      <c r="C7" t="s" s="93">
        <v>50</v>
      </c>
      <c r="D7" s="64">
        <v>0.0315</v>
      </c>
      <c r="E7" s="64">
        <v>10</v>
      </c>
      <c r="F7" s="65">
        <f>D7*E7</f>
        <v>0.315</v>
      </c>
      <c r="G7" s="7"/>
      <c r="H7" s="7"/>
      <c r="I7" s="7"/>
      <c r="J7" s="7"/>
      <c r="K7" s="7"/>
      <c r="L7" s="7"/>
      <c r="M7" s="7"/>
      <c r="N7" s="7"/>
      <c r="O7" s="7"/>
      <c r="P7" s="7"/>
      <c r="Q7" s="7"/>
      <c r="R7" s="7"/>
      <c r="S7" s="7"/>
      <c r="T7" s="7"/>
      <c r="U7" s="7"/>
      <c r="V7" s="7"/>
      <c r="W7" s="7"/>
      <c r="X7" s="7"/>
      <c r="Y7" s="7"/>
      <c r="Z7" s="7"/>
      <c r="AA7" s="7"/>
    </row>
    <row r="8" ht="16.6" customHeight="1">
      <c r="A8" t="s" s="61">
        <v>51</v>
      </c>
      <c r="B8" t="s" s="93">
        <f>B7</f>
        <v>39</v>
      </c>
      <c r="C8" t="s" s="93">
        <v>52</v>
      </c>
      <c r="D8" s="64">
        <v>0.0712</v>
      </c>
      <c r="E8" s="64">
        <v>5</v>
      </c>
      <c r="F8" s="65">
        <f>D8*E8</f>
        <v>0.356</v>
      </c>
      <c r="G8" s="7"/>
      <c r="H8" s="7"/>
      <c r="I8" s="7"/>
      <c r="J8" s="7"/>
      <c r="K8" s="7"/>
      <c r="L8" s="7"/>
      <c r="M8" s="7"/>
      <c r="N8" s="7"/>
      <c r="O8" s="7"/>
      <c r="P8" s="7"/>
      <c r="Q8" s="7"/>
      <c r="R8" s="7"/>
      <c r="S8" s="7"/>
      <c r="T8" s="7"/>
      <c r="U8" s="7"/>
      <c r="V8" s="7"/>
      <c r="W8" s="7"/>
      <c r="X8" s="7"/>
      <c r="Y8" s="7"/>
      <c r="Z8" s="7"/>
      <c r="AA8" s="7"/>
    </row>
    <row r="9" ht="16.6" customHeight="1">
      <c r="A9" t="s" s="61">
        <v>53</v>
      </c>
      <c r="B9" t="s" s="93">
        <f>B8</f>
        <v>39</v>
      </c>
      <c r="C9" t="s" s="93">
        <v>54</v>
      </c>
      <c r="D9" s="64">
        <v>0.1058</v>
      </c>
      <c r="E9" s="64">
        <v>5</v>
      </c>
      <c r="F9" s="65">
        <f>D9*E9</f>
        <v>0.529</v>
      </c>
      <c r="G9" s="7"/>
      <c r="H9" s="7"/>
      <c r="I9" s="7"/>
      <c r="J9" s="7"/>
      <c r="K9" s="7"/>
      <c r="L9" s="7"/>
      <c r="M9" s="7"/>
      <c r="N9" s="7"/>
      <c r="O9" s="7"/>
      <c r="P9" s="7"/>
      <c r="Q9" s="7"/>
      <c r="R9" s="7"/>
      <c r="S9" s="7"/>
      <c r="T9" s="7"/>
      <c r="U9" s="7"/>
      <c r="V9" s="7"/>
      <c r="W9" s="7"/>
      <c r="X9" s="7"/>
      <c r="Y9" s="7"/>
      <c r="Z9" s="7"/>
      <c r="AA9" s="7"/>
    </row>
    <row r="10" ht="16.6" customHeight="1">
      <c r="A10" t="s" s="61">
        <v>55</v>
      </c>
      <c r="B10" t="s" s="93">
        <f>B9</f>
        <v>39</v>
      </c>
      <c r="C10" t="s" s="93">
        <v>56</v>
      </c>
      <c r="D10" s="64">
        <v>0.0193</v>
      </c>
      <c r="E10" s="64">
        <v>20</v>
      </c>
      <c r="F10" s="65">
        <f>D10*E10</f>
        <v>0.386</v>
      </c>
      <c r="G10" s="7"/>
      <c r="H10" s="7"/>
      <c r="I10" s="7"/>
      <c r="J10" s="7"/>
      <c r="K10" s="7"/>
      <c r="L10" s="7"/>
      <c r="M10" s="7"/>
      <c r="N10" s="7"/>
      <c r="O10" s="7"/>
      <c r="P10" s="7"/>
      <c r="Q10" s="7"/>
      <c r="R10" s="7"/>
      <c r="S10" s="7"/>
      <c r="T10" s="7"/>
      <c r="U10" s="7"/>
      <c r="V10" s="7"/>
      <c r="W10" s="7"/>
      <c r="X10" s="7"/>
      <c r="Y10" s="7"/>
      <c r="Z10" s="7"/>
      <c r="AA10" s="7"/>
    </row>
    <row r="11" ht="16.6" customHeight="1">
      <c r="A11" t="s" s="61">
        <v>57</v>
      </c>
      <c r="B11" t="s" s="93">
        <f>B10</f>
        <v>39</v>
      </c>
      <c r="C11" t="s" s="93">
        <v>58</v>
      </c>
      <c r="D11" s="64">
        <v>0.0675</v>
      </c>
      <c r="E11" s="64">
        <v>5</v>
      </c>
      <c r="F11" s="65">
        <f>D11*E11</f>
        <v>0.3375</v>
      </c>
      <c r="G11" s="7"/>
      <c r="H11" s="7"/>
      <c r="I11" s="7"/>
      <c r="J11" s="7"/>
      <c r="K11" s="7"/>
      <c r="L11" s="7"/>
      <c r="M11" s="7"/>
      <c r="N11" s="7"/>
      <c r="O11" s="7"/>
      <c r="P11" s="7"/>
      <c r="Q11" s="7"/>
      <c r="R11" s="7"/>
      <c r="S11" s="7"/>
      <c r="T11" s="7"/>
      <c r="U11" s="7"/>
      <c r="V11" s="7"/>
      <c r="W11" s="7"/>
      <c r="X11" s="7"/>
      <c r="Y11" s="7"/>
      <c r="Z11" s="7"/>
      <c r="AA11" s="7"/>
    </row>
    <row r="12" ht="16.6" customHeight="1">
      <c r="A12" t="s" s="61">
        <v>59</v>
      </c>
      <c r="B12" t="s" s="93">
        <f>B11</f>
        <v>39</v>
      </c>
      <c r="C12" t="s" s="93">
        <v>60</v>
      </c>
      <c r="D12" s="64">
        <v>0.004</v>
      </c>
      <c r="E12" s="64">
        <v>50</v>
      </c>
      <c r="F12" s="65">
        <f>D12*E12</f>
        <v>0.2</v>
      </c>
      <c r="G12" s="7"/>
      <c r="H12" s="7"/>
      <c r="I12" s="7"/>
      <c r="J12" s="7"/>
      <c r="K12" s="7"/>
      <c r="L12" s="7"/>
      <c r="M12" s="7"/>
      <c r="N12" s="7"/>
      <c r="O12" s="7"/>
      <c r="P12" s="7"/>
      <c r="Q12" s="7"/>
      <c r="R12" s="7"/>
      <c r="S12" s="7"/>
      <c r="T12" s="7"/>
      <c r="U12" s="7"/>
      <c r="V12" s="7"/>
      <c r="W12" s="7"/>
      <c r="X12" s="7"/>
      <c r="Y12" s="7"/>
      <c r="Z12" s="7"/>
      <c r="AA12" s="7"/>
    </row>
    <row r="13" ht="16.6" customHeight="1">
      <c r="A13" t="s" s="61">
        <v>61</v>
      </c>
      <c r="B13" t="s" s="93">
        <f>B12</f>
        <v>39</v>
      </c>
      <c r="C13" t="s" s="93">
        <v>62</v>
      </c>
      <c r="D13" s="64">
        <v>0.0393</v>
      </c>
      <c r="E13" s="64">
        <v>10</v>
      </c>
      <c r="F13" s="65">
        <f>D13*E13</f>
        <v>0.393</v>
      </c>
      <c r="G13" s="7"/>
      <c r="H13" s="7"/>
      <c r="I13" s="7"/>
      <c r="J13" s="7"/>
      <c r="K13" s="7"/>
      <c r="L13" s="7"/>
      <c r="M13" s="7"/>
      <c r="N13" s="7"/>
      <c r="O13" s="7"/>
      <c r="P13" s="7"/>
      <c r="Q13" s="7"/>
      <c r="R13" s="7"/>
      <c r="S13" s="7"/>
      <c r="T13" s="7"/>
      <c r="U13" s="7"/>
      <c r="V13" s="7"/>
      <c r="W13" s="7"/>
      <c r="X13" s="7"/>
      <c r="Y13" s="7"/>
      <c r="Z13" s="7"/>
      <c r="AA13" s="7"/>
    </row>
    <row r="14" ht="16.6" customHeight="1">
      <c r="A14" t="s" s="61">
        <v>63</v>
      </c>
      <c r="B14" t="s" s="93">
        <f>B13</f>
        <v>39</v>
      </c>
      <c r="C14" t="s" s="93">
        <v>64</v>
      </c>
      <c r="D14" s="64">
        <v>0.0283</v>
      </c>
      <c r="E14" s="64">
        <v>20</v>
      </c>
      <c r="F14" s="65">
        <f>D14*E14</f>
        <v>0.5659999999999999</v>
      </c>
      <c r="G14" s="7"/>
      <c r="H14" s="7"/>
      <c r="I14" s="7"/>
      <c r="J14" s="7"/>
      <c r="K14" s="7"/>
      <c r="L14" s="7"/>
      <c r="M14" s="7"/>
      <c r="N14" s="7"/>
      <c r="O14" s="7"/>
      <c r="P14" s="7"/>
      <c r="Q14" s="7"/>
      <c r="R14" s="7"/>
      <c r="S14" s="7"/>
      <c r="T14" s="7"/>
      <c r="U14" s="7"/>
      <c r="V14" s="7"/>
      <c r="W14" s="7"/>
      <c r="X14" s="7"/>
      <c r="Y14" s="7"/>
      <c r="Z14" s="7"/>
      <c r="AA14" s="7"/>
    </row>
    <row r="15" ht="16.6" customHeight="1">
      <c r="A15" t="s" s="61">
        <v>65</v>
      </c>
      <c r="B15" t="s" s="93">
        <f>B14</f>
        <v>39</v>
      </c>
      <c r="C15" t="s" s="94">
        <v>66</v>
      </c>
      <c r="D15" s="64">
        <v>0.0048</v>
      </c>
      <c r="E15" s="64">
        <v>10</v>
      </c>
      <c r="F15" s="65">
        <f>D15*E15</f>
        <v>0.048</v>
      </c>
      <c r="G15" s="7"/>
      <c r="H15" s="7"/>
      <c r="I15" s="7"/>
      <c r="J15" s="7"/>
      <c r="K15" s="7"/>
      <c r="L15" s="7"/>
      <c r="M15" s="7"/>
      <c r="N15" s="7"/>
      <c r="O15" s="7"/>
      <c r="P15" s="7"/>
      <c r="Q15" s="7"/>
      <c r="R15" s="7"/>
      <c r="S15" s="7"/>
      <c r="T15" s="7"/>
      <c r="U15" s="7"/>
      <c r="V15" s="7"/>
      <c r="W15" s="7"/>
      <c r="X15" s="7"/>
      <c r="Y15" s="7"/>
      <c r="Z15" s="7"/>
      <c r="AA15" s="7"/>
    </row>
    <row r="16" ht="16.6" customHeight="1">
      <c r="A16" t="s" s="61">
        <v>67</v>
      </c>
      <c r="B16" t="s" s="93">
        <f>B15</f>
        <v>39</v>
      </c>
      <c r="C16" t="s" s="94">
        <v>68</v>
      </c>
      <c r="D16" s="64">
        <v>0.0019</v>
      </c>
      <c r="E16" s="64">
        <v>100</v>
      </c>
      <c r="F16" s="65">
        <f>D16*E16</f>
        <v>0.19</v>
      </c>
      <c r="G16" s="7"/>
      <c r="H16" s="7"/>
      <c r="I16" s="7"/>
      <c r="J16" s="7"/>
      <c r="K16" s="7"/>
      <c r="L16" s="7"/>
      <c r="M16" s="7"/>
      <c r="N16" s="7"/>
      <c r="O16" s="7"/>
      <c r="P16" s="7"/>
      <c r="Q16" s="7"/>
      <c r="R16" s="7"/>
      <c r="S16" s="7"/>
      <c r="T16" s="7"/>
      <c r="U16" s="7"/>
      <c r="V16" s="7"/>
      <c r="W16" s="7"/>
      <c r="X16" s="7"/>
      <c r="Y16" s="7"/>
      <c r="Z16" s="7"/>
      <c r="AA16" s="7"/>
    </row>
    <row r="17" ht="16.6" customHeight="1">
      <c r="A17" t="s" s="61">
        <v>69</v>
      </c>
      <c r="B17" t="s" s="93">
        <f>B15</f>
        <v>39</v>
      </c>
      <c r="C17" t="s" s="94">
        <v>70</v>
      </c>
      <c r="D17" s="64">
        <v>0.0119</v>
      </c>
      <c r="E17" s="64">
        <v>10</v>
      </c>
      <c r="F17" s="65">
        <f>D17*E17</f>
        <v>0.119</v>
      </c>
      <c r="G17" s="7"/>
      <c r="H17" s="7"/>
      <c r="I17" s="7"/>
      <c r="J17" s="7"/>
      <c r="K17" s="7"/>
      <c r="L17" s="7"/>
      <c r="M17" s="7"/>
      <c r="N17" s="7"/>
      <c r="O17" s="7"/>
      <c r="P17" s="7"/>
      <c r="Q17" s="7"/>
      <c r="R17" s="7"/>
      <c r="S17" s="7"/>
      <c r="T17" s="7"/>
      <c r="U17" s="7"/>
      <c r="V17" s="7"/>
      <c r="W17" s="7"/>
      <c r="X17" s="7"/>
      <c r="Y17" s="7"/>
      <c r="Z17" s="7"/>
      <c r="AA17" s="7"/>
    </row>
    <row r="18" ht="16.6" customHeight="1">
      <c r="A18" t="s" s="61">
        <v>71</v>
      </c>
      <c r="B18" t="s" s="93">
        <f>B16</f>
        <v>39</v>
      </c>
      <c r="C18" t="s" s="94">
        <v>72</v>
      </c>
      <c r="D18" s="64">
        <v>0.0031</v>
      </c>
      <c r="E18" s="64">
        <v>50</v>
      </c>
      <c r="F18" s="65">
        <f>D18*E18</f>
        <v>0.155</v>
      </c>
      <c r="G18" s="7"/>
      <c r="H18" s="7"/>
      <c r="I18" s="7"/>
      <c r="J18" s="7"/>
      <c r="K18" s="7"/>
      <c r="L18" s="7"/>
      <c r="M18" s="7"/>
      <c r="N18" s="7"/>
      <c r="O18" s="7"/>
      <c r="P18" s="7"/>
      <c r="Q18" s="7"/>
      <c r="R18" s="7"/>
      <c r="S18" s="7"/>
      <c r="T18" s="7"/>
      <c r="U18" s="7"/>
      <c r="V18" s="7"/>
      <c r="W18" s="7"/>
      <c r="X18" s="7"/>
      <c r="Y18" s="7"/>
      <c r="Z18" s="7"/>
      <c r="AA18" s="7"/>
    </row>
    <row r="19" ht="16.6" customHeight="1">
      <c r="A19" t="s" s="61">
        <v>73</v>
      </c>
      <c r="B19" t="s" s="93">
        <f>B17</f>
        <v>39</v>
      </c>
      <c r="C19" t="s" s="94">
        <v>74</v>
      </c>
      <c r="D19" s="64">
        <v>0.0043</v>
      </c>
      <c r="E19" s="64">
        <v>50</v>
      </c>
      <c r="F19" s="65">
        <f>D19*E19</f>
        <v>0.215</v>
      </c>
      <c r="G19" s="7"/>
      <c r="H19" s="7"/>
      <c r="I19" s="7"/>
      <c r="J19" s="7"/>
      <c r="K19" s="7"/>
      <c r="L19" s="7"/>
      <c r="M19" s="7"/>
      <c r="N19" s="7"/>
      <c r="O19" s="7"/>
      <c r="P19" s="7"/>
      <c r="Q19" s="7"/>
      <c r="R19" s="7"/>
      <c r="S19" s="7"/>
      <c r="T19" s="7"/>
      <c r="U19" s="7"/>
      <c r="V19" s="7"/>
      <c r="W19" s="7"/>
      <c r="X19" s="7"/>
      <c r="Y19" s="7"/>
      <c r="Z19" s="7"/>
      <c r="AA19" s="7"/>
    </row>
    <row r="20" ht="16.6" customHeight="1">
      <c r="A20" t="s" s="61">
        <v>75</v>
      </c>
      <c r="B20" t="s" s="93">
        <f>B18</f>
        <v>39</v>
      </c>
      <c r="C20" t="s" s="94">
        <v>76</v>
      </c>
      <c r="D20" s="64">
        <v>0.009299999999999999</v>
      </c>
      <c r="E20" s="64">
        <v>20</v>
      </c>
      <c r="F20" s="65">
        <f>D20*E20</f>
        <v>0.186</v>
      </c>
      <c r="G20" s="7"/>
      <c r="H20" s="7"/>
      <c r="I20" s="7"/>
      <c r="J20" s="7"/>
      <c r="K20" s="7"/>
      <c r="L20" s="7"/>
      <c r="M20" s="7"/>
      <c r="N20" s="7"/>
      <c r="O20" s="7"/>
      <c r="P20" s="7"/>
      <c r="Q20" s="7"/>
      <c r="R20" s="7"/>
      <c r="S20" s="7"/>
      <c r="T20" s="7"/>
      <c r="U20" s="7"/>
      <c r="V20" s="7"/>
      <c r="W20" s="7"/>
      <c r="X20" s="7"/>
      <c r="Y20" s="7"/>
      <c r="Z20" s="7"/>
      <c r="AA20" s="7"/>
    </row>
    <row r="21" ht="16.6" customHeight="1">
      <c r="A21" t="s" s="61">
        <v>77</v>
      </c>
      <c r="B21" t="s" s="93">
        <f>B19</f>
        <v>39</v>
      </c>
      <c r="C21" t="s" s="94">
        <v>78</v>
      </c>
      <c r="D21" s="64">
        <v>0.0026</v>
      </c>
      <c r="E21" s="64">
        <v>100</v>
      </c>
      <c r="F21" s="65">
        <f>D21*E21</f>
        <v>0.26</v>
      </c>
      <c r="G21" s="7"/>
      <c r="H21" s="7"/>
      <c r="I21" s="7"/>
      <c r="J21" s="7"/>
      <c r="K21" s="7"/>
      <c r="L21" s="7"/>
      <c r="M21" s="7"/>
      <c r="N21" s="7"/>
      <c r="O21" s="7"/>
      <c r="P21" s="7"/>
      <c r="Q21" s="7"/>
      <c r="R21" s="7"/>
      <c r="S21" s="7"/>
      <c r="T21" s="7"/>
      <c r="U21" s="7"/>
      <c r="V21" s="7"/>
      <c r="W21" s="7"/>
      <c r="X21" s="7"/>
      <c r="Y21" s="7"/>
      <c r="Z21" s="7"/>
      <c r="AA21" s="7"/>
    </row>
    <row r="22" ht="16.6" customHeight="1">
      <c r="A22" t="s" s="61">
        <v>79</v>
      </c>
      <c r="B22" t="s" s="93">
        <f>B19</f>
        <v>39</v>
      </c>
      <c r="C22" t="s" s="94">
        <v>80</v>
      </c>
      <c r="D22" s="64">
        <v>0.0027</v>
      </c>
      <c r="E22" s="64">
        <v>100</v>
      </c>
      <c r="F22" s="65">
        <f>D22*E22</f>
        <v>0.27</v>
      </c>
      <c r="G22" s="7"/>
      <c r="H22" s="7"/>
      <c r="I22" s="7"/>
      <c r="J22" s="7"/>
      <c r="K22" s="7"/>
      <c r="L22" s="7"/>
      <c r="M22" s="7"/>
      <c r="N22" s="7"/>
      <c r="O22" s="7"/>
      <c r="P22" s="7"/>
      <c r="Q22" s="7"/>
      <c r="R22" s="7"/>
      <c r="S22" s="7"/>
      <c r="T22" s="7"/>
      <c r="U22" s="7"/>
      <c r="V22" s="7"/>
      <c r="W22" s="7"/>
      <c r="X22" s="7"/>
      <c r="Y22" s="7"/>
      <c r="Z22" s="7"/>
      <c r="AA22" s="7"/>
    </row>
    <row r="23" ht="16.6" customHeight="1">
      <c r="A23" t="s" s="61">
        <v>81</v>
      </c>
      <c r="B23" t="s" s="93">
        <f>B20</f>
        <v>39</v>
      </c>
      <c r="C23" t="s" s="94">
        <v>82</v>
      </c>
      <c r="D23" s="64">
        <v>0.0023</v>
      </c>
      <c r="E23" s="64">
        <v>100</v>
      </c>
      <c r="F23" s="65">
        <f>D23*E23</f>
        <v>0.23</v>
      </c>
      <c r="G23" s="7"/>
      <c r="H23" s="7"/>
      <c r="I23" s="7"/>
      <c r="J23" s="7"/>
      <c r="K23" s="7"/>
      <c r="L23" s="7"/>
      <c r="M23" s="7"/>
      <c r="N23" s="7"/>
      <c r="O23" s="7"/>
      <c r="P23" s="7"/>
      <c r="Q23" s="7"/>
      <c r="R23" s="7"/>
      <c r="S23" s="7"/>
      <c r="T23" s="7"/>
      <c r="U23" s="7"/>
      <c r="V23" s="7"/>
      <c r="W23" s="7"/>
      <c r="X23" s="7"/>
      <c r="Y23" s="7"/>
      <c r="Z23" s="7"/>
      <c r="AA23" s="7"/>
    </row>
    <row r="24" ht="16.6" customHeight="1">
      <c r="A24" t="s" s="61">
        <v>83</v>
      </c>
      <c r="B24" t="s" s="93">
        <f>B21</f>
        <v>39</v>
      </c>
      <c r="C24" t="s" s="94">
        <v>84</v>
      </c>
      <c r="D24" s="64">
        <v>0.0023</v>
      </c>
      <c r="E24" s="64">
        <v>100</v>
      </c>
      <c r="F24" s="65">
        <f>D24*E24</f>
        <v>0.23</v>
      </c>
      <c r="G24" s="7"/>
      <c r="H24" s="7"/>
      <c r="I24" s="7"/>
      <c r="J24" s="7"/>
      <c r="K24" s="7"/>
      <c r="L24" s="7"/>
      <c r="M24" s="7"/>
      <c r="N24" s="7"/>
      <c r="O24" s="7"/>
      <c r="P24" s="7"/>
      <c r="Q24" s="7"/>
      <c r="R24" s="7"/>
      <c r="S24" s="7"/>
      <c r="T24" s="7"/>
      <c r="U24" s="7"/>
      <c r="V24" s="7"/>
      <c r="W24" s="7"/>
      <c r="X24" s="7"/>
      <c r="Y24" s="7"/>
      <c r="Z24" s="7"/>
      <c r="AA24" s="7"/>
    </row>
    <row r="25" ht="16.6" customHeight="1">
      <c r="A25" t="s" s="61">
        <v>85</v>
      </c>
      <c r="B25" t="s" s="93">
        <f>B22</f>
        <v>39</v>
      </c>
      <c r="C25" t="s" s="94">
        <v>86</v>
      </c>
      <c r="D25" s="64">
        <v>0.0036</v>
      </c>
      <c r="E25" s="64">
        <v>100</v>
      </c>
      <c r="F25" s="65">
        <f>D25*E25</f>
        <v>0.36</v>
      </c>
      <c r="G25" s="7"/>
      <c r="H25" s="7"/>
      <c r="I25" s="7"/>
      <c r="J25" s="7"/>
      <c r="K25" s="7"/>
      <c r="L25" s="7"/>
      <c r="M25" s="7"/>
      <c r="N25" s="7"/>
      <c r="O25" s="7"/>
      <c r="P25" s="7"/>
      <c r="Q25" s="7"/>
      <c r="R25" s="7"/>
      <c r="S25" s="7"/>
      <c r="T25" s="7"/>
      <c r="U25" s="7"/>
      <c r="V25" s="7"/>
      <c r="W25" s="7"/>
      <c r="X25" s="7"/>
      <c r="Y25" s="7"/>
      <c r="Z25" s="7"/>
      <c r="AA25" s="7"/>
    </row>
    <row r="26" ht="16.6" customHeight="1">
      <c r="A26" t="s" s="61">
        <v>87</v>
      </c>
      <c r="B26" t="s" s="93">
        <f>B20</f>
        <v>39</v>
      </c>
      <c r="C26" t="s" s="94">
        <v>88</v>
      </c>
      <c r="D26" s="64">
        <v>0.1507</v>
      </c>
      <c r="E26" s="64">
        <v>5</v>
      </c>
      <c r="F26" s="65">
        <f>D26*E26</f>
        <v>0.7534999999999999</v>
      </c>
      <c r="G26" s="7"/>
      <c r="H26" s="7"/>
      <c r="I26" s="7"/>
      <c r="J26" s="7"/>
      <c r="K26" s="7"/>
      <c r="L26" s="7"/>
      <c r="M26" s="7"/>
      <c r="N26" s="7"/>
      <c r="O26" s="7"/>
      <c r="P26" s="7"/>
      <c r="Q26" s="7"/>
      <c r="R26" s="7"/>
      <c r="S26" s="7"/>
      <c r="T26" s="7"/>
      <c r="U26" s="7"/>
      <c r="V26" s="7"/>
      <c r="W26" s="7"/>
      <c r="X26" s="7"/>
      <c r="Y26" s="7"/>
      <c r="Z26" s="7"/>
      <c r="AA26" s="7"/>
    </row>
    <row r="27" ht="16.6" customHeight="1">
      <c r="A27" t="s" s="61">
        <v>89</v>
      </c>
      <c r="B27" t="s" s="93">
        <f>B22</f>
        <v>39</v>
      </c>
      <c r="C27" t="s" s="94">
        <v>90</v>
      </c>
      <c r="D27" s="64">
        <v>0.0008</v>
      </c>
      <c r="E27" s="64">
        <v>100</v>
      </c>
      <c r="F27" s="65">
        <f>D27*E27</f>
        <v>0.08</v>
      </c>
      <c r="G27" s="7"/>
      <c r="H27" s="7"/>
      <c r="I27" s="7"/>
      <c r="J27" s="7"/>
      <c r="K27" s="7"/>
      <c r="L27" s="7"/>
      <c r="M27" s="7"/>
      <c r="N27" s="7"/>
      <c r="O27" s="7"/>
      <c r="P27" s="7"/>
      <c r="Q27" s="7"/>
      <c r="R27" s="7"/>
      <c r="S27" s="7"/>
      <c r="T27" s="7"/>
      <c r="U27" s="7"/>
      <c r="V27" s="7"/>
      <c r="W27" s="7"/>
      <c r="X27" s="7"/>
      <c r="Y27" s="7"/>
      <c r="Z27" s="7"/>
      <c r="AA27" s="7"/>
    </row>
    <row r="28" ht="16.6" customHeight="1">
      <c r="A28" t="s" s="61">
        <v>91</v>
      </c>
      <c r="B28" t="s" s="93">
        <f>B22</f>
        <v>39</v>
      </c>
      <c r="C28" t="s" s="94">
        <v>92</v>
      </c>
      <c r="D28" s="64">
        <v>0.0007</v>
      </c>
      <c r="E28" s="64">
        <v>100</v>
      </c>
      <c r="F28" s="65">
        <f>D28*E28</f>
        <v>0.07000000000000001</v>
      </c>
      <c r="G28" s="7"/>
      <c r="H28" s="7"/>
      <c r="I28" s="7"/>
      <c r="J28" s="7"/>
      <c r="K28" s="7"/>
      <c r="L28" s="7"/>
      <c r="M28" s="7"/>
      <c r="N28" s="7"/>
      <c r="O28" s="7"/>
      <c r="P28" s="7"/>
      <c r="Q28" s="7"/>
      <c r="R28" s="7"/>
      <c r="S28" s="7"/>
      <c r="T28" s="7"/>
      <c r="U28" s="7"/>
      <c r="V28" s="7"/>
      <c r="W28" s="7"/>
      <c r="X28" s="7"/>
      <c r="Y28" s="7"/>
      <c r="Z28" s="7"/>
      <c r="AA28" s="7"/>
    </row>
    <row r="29" ht="16.6" customHeight="1">
      <c r="A29" t="s" s="61">
        <v>93</v>
      </c>
      <c r="B29" t="s" s="93">
        <f>B20</f>
        <v>39</v>
      </c>
      <c r="C29" t="s" s="94">
        <v>94</v>
      </c>
      <c r="D29" s="64">
        <v>0.0008</v>
      </c>
      <c r="E29" s="64">
        <v>100</v>
      </c>
      <c r="F29" s="65">
        <f>D29*E29</f>
        <v>0.08</v>
      </c>
      <c r="G29" s="7"/>
      <c r="H29" s="7"/>
      <c r="I29" s="7"/>
      <c r="J29" s="7"/>
      <c r="K29" s="7"/>
      <c r="L29" s="7"/>
      <c r="M29" s="7"/>
      <c r="N29" s="7"/>
      <c r="O29" s="7"/>
      <c r="P29" s="7"/>
      <c r="Q29" s="7"/>
      <c r="R29" s="7"/>
      <c r="S29" s="7"/>
      <c r="T29" s="7"/>
      <c r="U29" s="7"/>
      <c r="V29" s="7"/>
      <c r="W29" s="7"/>
      <c r="X29" s="7"/>
      <c r="Y29" s="7"/>
      <c r="Z29" s="7"/>
      <c r="AA29" s="7"/>
    </row>
    <row r="30" ht="16.6" customHeight="1">
      <c r="A30" t="s" s="61">
        <v>95</v>
      </c>
      <c r="B30" t="s" s="93">
        <f>B22</f>
        <v>39</v>
      </c>
      <c r="C30" t="s" s="94">
        <v>96</v>
      </c>
      <c r="D30" s="64">
        <v>0.0009</v>
      </c>
      <c r="E30" s="64">
        <v>100</v>
      </c>
      <c r="F30" s="65">
        <f>D30*E30</f>
        <v>0.09</v>
      </c>
      <c r="G30" s="7"/>
      <c r="H30" s="7"/>
      <c r="I30" s="7"/>
      <c r="J30" s="7"/>
      <c r="K30" s="7"/>
      <c r="L30" s="7"/>
      <c r="M30" s="7"/>
      <c r="N30" s="7"/>
      <c r="O30" s="7"/>
      <c r="P30" s="7"/>
      <c r="Q30" s="7"/>
      <c r="R30" s="7"/>
      <c r="S30" s="7"/>
      <c r="T30" s="7"/>
      <c r="U30" s="7"/>
      <c r="V30" s="7"/>
      <c r="W30" s="7"/>
      <c r="X30" s="7"/>
      <c r="Y30" s="7"/>
      <c r="Z30" s="7"/>
      <c r="AA30" s="7"/>
    </row>
    <row r="31" ht="16.6" customHeight="1">
      <c r="A31" t="s" s="61">
        <v>97</v>
      </c>
      <c r="B31" t="s" s="93">
        <f>B29</f>
        <v>39</v>
      </c>
      <c r="C31" t="s" s="94">
        <v>98</v>
      </c>
      <c r="D31" s="64">
        <v>0.0007</v>
      </c>
      <c r="E31" s="64">
        <v>100</v>
      </c>
      <c r="F31" s="65">
        <f>D31*E31</f>
        <v>0.07000000000000001</v>
      </c>
      <c r="G31" s="7"/>
      <c r="H31" s="7"/>
      <c r="I31" s="7"/>
      <c r="J31" s="7"/>
      <c r="K31" s="7"/>
      <c r="L31" s="7"/>
      <c r="M31" s="7"/>
      <c r="N31" s="7"/>
      <c r="O31" s="7"/>
      <c r="P31" s="7"/>
      <c r="Q31" s="7"/>
      <c r="R31" s="7"/>
      <c r="S31" s="7"/>
      <c r="T31" s="7"/>
      <c r="U31" s="7"/>
      <c r="V31" s="7"/>
      <c r="W31" s="7"/>
      <c r="X31" s="7"/>
      <c r="Y31" s="7"/>
      <c r="Z31" s="7"/>
      <c r="AA31" s="7"/>
    </row>
    <row r="32" ht="16.6" customHeight="1">
      <c r="A32" t="s" s="61">
        <v>99</v>
      </c>
      <c r="B32" t="s" s="93">
        <f>B30</f>
        <v>39</v>
      </c>
      <c r="C32" t="s" s="94">
        <v>100</v>
      </c>
      <c r="D32" s="64">
        <v>1.3326</v>
      </c>
      <c r="E32" s="64">
        <v>1</v>
      </c>
      <c r="F32" s="65">
        <f>D32*E32</f>
        <v>1.3326</v>
      </c>
      <c r="G32" s="7"/>
      <c r="H32" s="7"/>
      <c r="I32" s="7"/>
      <c r="J32" s="7"/>
      <c r="K32" s="7"/>
      <c r="L32" s="7"/>
      <c r="M32" s="7"/>
      <c r="N32" s="7"/>
      <c r="O32" s="7"/>
      <c r="P32" s="7"/>
      <c r="Q32" s="7"/>
      <c r="R32" s="7"/>
      <c r="S32" s="7"/>
      <c r="T32" s="7"/>
      <c r="U32" s="7"/>
      <c r="V32" s="7"/>
      <c r="W32" s="7"/>
      <c r="X32" s="7"/>
      <c r="Y32" s="7"/>
      <c r="Z32" s="7"/>
      <c r="AA32" s="7"/>
    </row>
    <row r="33" ht="16.6" customHeight="1">
      <c r="A33" t="s" s="61">
        <v>101</v>
      </c>
      <c r="B33" t="s" s="93">
        <f>B32</f>
        <v>39</v>
      </c>
      <c r="C33" t="s" s="94">
        <v>102</v>
      </c>
      <c r="D33" s="64">
        <v>0.0102</v>
      </c>
      <c r="E33" s="64">
        <v>50</v>
      </c>
      <c r="F33" s="65">
        <f>D33*E33</f>
        <v>0.51</v>
      </c>
      <c r="G33" s="7"/>
      <c r="H33" s="7"/>
      <c r="I33" s="7"/>
      <c r="J33" s="7"/>
      <c r="K33" s="7"/>
      <c r="L33" s="7"/>
      <c r="M33" s="7"/>
      <c r="N33" s="7"/>
      <c r="O33" s="7"/>
      <c r="P33" s="7"/>
      <c r="Q33" s="7"/>
      <c r="R33" s="7"/>
      <c r="S33" s="7"/>
      <c r="T33" s="7"/>
      <c r="U33" s="7"/>
      <c r="V33" s="7"/>
      <c r="W33" s="7"/>
      <c r="X33" s="7"/>
      <c r="Y33" s="7"/>
      <c r="Z33" s="7"/>
      <c r="AA33" s="7"/>
    </row>
    <row r="34" ht="16.6" customHeight="1">
      <c r="A34" t="s" s="61">
        <v>103</v>
      </c>
      <c r="B34" t="s" s="93">
        <f>B33</f>
        <v>39</v>
      </c>
      <c r="C34" t="s" s="94">
        <v>104</v>
      </c>
      <c r="D34" s="64">
        <v>0.008</v>
      </c>
      <c r="E34" s="64">
        <v>50</v>
      </c>
      <c r="F34" s="65">
        <f>D34*E34</f>
        <v>0.4</v>
      </c>
      <c r="G34" s="7"/>
      <c r="H34" s="7"/>
      <c r="I34" s="7"/>
      <c r="J34" s="7"/>
      <c r="K34" s="7"/>
      <c r="L34" s="7"/>
      <c r="M34" s="7"/>
      <c r="N34" s="7"/>
      <c r="O34" s="7"/>
      <c r="P34" s="7"/>
      <c r="Q34" s="7"/>
      <c r="R34" s="7"/>
      <c r="S34" s="7"/>
      <c r="T34" s="7"/>
      <c r="U34" s="7"/>
      <c r="V34" s="7"/>
      <c r="W34" s="7"/>
      <c r="X34" s="7"/>
      <c r="Y34" s="7"/>
      <c r="Z34" s="7"/>
      <c r="AA34" s="7"/>
    </row>
    <row r="35" ht="16.6" customHeight="1">
      <c r="A35" t="s" s="61">
        <v>105</v>
      </c>
      <c r="B35" t="s" s="93">
        <f>B34</f>
        <v>39</v>
      </c>
      <c r="C35" t="s" s="94">
        <v>106</v>
      </c>
      <c r="D35" s="64">
        <v>0.0128</v>
      </c>
      <c r="E35" s="64">
        <v>20</v>
      </c>
      <c r="F35" s="65">
        <f>D35*E35</f>
        <v>0.256</v>
      </c>
      <c r="G35" s="7"/>
      <c r="H35" s="7"/>
      <c r="I35" s="7"/>
      <c r="J35" s="7"/>
      <c r="K35" s="7"/>
      <c r="L35" s="7"/>
      <c r="M35" s="7"/>
      <c r="N35" s="7"/>
      <c r="O35" s="7"/>
      <c r="P35" s="7"/>
      <c r="Q35" s="7"/>
      <c r="R35" s="7"/>
      <c r="S35" s="7"/>
      <c r="T35" s="7"/>
      <c r="U35" s="7"/>
      <c r="V35" s="7"/>
      <c r="W35" s="7"/>
      <c r="X35" s="7"/>
      <c r="Y35" s="7"/>
      <c r="Z35" s="7"/>
      <c r="AA35" s="7"/>
    </row>
    <row r="36" ht="16.6" customHeight="1">
      <c r="A36" t="s" s="61">
        <v>107</v>
      </c>
      <c r="B36" t="s" s="93">
        <f>B35</f>
        <v>39</v>
      </c>
      <c r="C36" t="s" s="94">
        <v>108</v>
      </c>
      <c r="D36" s="64">
        <v>0.006</v>
      </c>
      <c r="E36" s="64">
        <v>100</v>
      </c>
      <c r="F36" s="65">
        <f>D36*E36</f>
        <v>0.6</v>
      </c>
      <c r="G36" s="7"/>
      <c r="H36" s="7"/>
      <c r="I36" s="7"/>
      <c r="J36" s="7"/>
      <c r="K36" s="7"/>
      <c r="L36" s="7"/>
      <c r="M36" s="7"/>
      <c r="N36" s="7"/>
      <c r="O36" s="7"/>
      <c r="P36" s="7"/>
      <c r="Q36" s="7"/>
      <c r="R36" s="7"/>
      <c r="S36" s="7"/>
      <c r="T36" s="7"/>
      <c r="U36" s="7"/>
      <c r="V36" s="7"/>
      <c r="W36" s="7"/>
      <c r="X36" s="7"/>
      <c r="Y36" s="7"/>
      <c r="Z36" s="7"/>
      <c r="AA36" s="7"/>
    </row>
    <row r="37" ht="16.6" customHeight="1">
      <c r="A37" t="s" s="61">
        <v>109</v>
      </c>
      <c r="B37" t="s" s="93">
        <f>B35</f>
        <v>39</v>
      </c>
      <c r="C37" t="s" s="94">
        <v>110</v>
      </c>
      <c r="D37" s="64">
        <v>0.1037</v>
      </c>
      <c r="E37" s="64">
        <v>5</v>
      </c>
      <c r="F37" s="65">
        <f>D37*E37</f>
        <v>0.5185</v>
      </c>
      <c r="G37" s="7"/>
      <c r="H37" s="7"/>
      <c r="I37" s="7"/>
      <c r="J37" s="7"/>
      <c r="K37" s="7"/>
      <c r="L37" s="7"/>
      <c r="M37" s="7"/>
      <c r="N37" s="7"/>
      <c r="O37" s="7"/>
      <c r="P37" s="7"/>
      <c r="Q37" s="7"/>
      <c r="R37" s="7"/>
      <c r="S37" s="7"/>
      <c r="T37" s="7"/>
      <c r="U37" s="7"/>
      <c r="V37" s="7"/>
      <c r="W37" s="7"/>
      <c r="X37" s="7"/>
      <c r="Y37" s="7"/>
      <c r="Z37" s="7"/>
      <c r="AA37" s="7"/>
    </row>
    <row r="38" ht="16.6" customHeight="1">
      <c r="A38" t="s" s="61">
        <v>111</v>
      </c>
      <c r="B38" t="s" s="93">
        <f>B37</f>
        <v>39</v>
      </c>
      <c r="C38" t="s" s="94">
        <v>112</v>
      </c>
      <c r="D38" s="64">
        <v>0.0051</v>
      </c>
      <c r="E38" s="64">
        <v>100</v>
      </c>
      <c r="F38" s="65">
        <f>D38*E38</f>
        <v>0.51</v>
      </c>
      <c r="G38" s="7"/>
      <c r="H38" s="7"/>
      <c r="I38" s="7"/>
      <c r="J38" s="7"/>
      <c r="K38" s="7"/>
      <c r="L38" s="7"/>
      <c r="M38" s="7"/>
      <c r="N38" s="7"/>
      <c r="O38" s="7"/>
      <c r="P38" s="7"/>
      <c r="Q38" s="7"/>
      <c r="R38" s="7"/>
      <c r="S38" s="7"/>
      <c r="T38" s="7"/>
      <c r="U38" s="7"/>
      <c r="V38" s="7"/>
      <c r="W38" s="7"/>
      <c r="X38" s="7"/>
      <c r="Y38" s="7"/>
      <c r="Z38" s="7"/>
      <c r="AA38" s="7"/>
    </row>
    <row r="39" ht="16.6" customHeight="1">
      <c r="A39" t="s" s="61">
        <v>113</v>
      </c>
      <c r="B39" t="s" s="93">
        <f>B38</f>
        <v>39</v>
      </c>
      <c r="C39" t="s" s="94">
        <v>114</v>
      </c>
      <c r="D39" s="64">
        <v>0.0049</v>
      </c>
      <c r="E39" s="64">
        <v>100</v>
      </c>
      <c r="F39" s="65">
        <f>D39*E39</f>
        <v>0.49</v>
      </c>
      <c r="G39" s="7"/>
      <c r="H39" s="7"/>
      <c r="I39" s="7"/>
      <c r="J39" s="7"/>
      <c r="K39" s="7"/>
      <c r="L39" s="7"/>
      <c r="M39" s="7"/>
      <c r="N39" s="7"/>
      <c r="O39" s="7"/>
      <c r="P39" s="7"/>
      <c r="Q39" s="7"/>
      <c r="R39" s="7"/>
      <c r="S39" s="7"/>
      <c r="T39" s="7"/>
      <c r="U39" s="7"/>
      <c r="V39" s="7"/>
      <c r="W39" s="7"/>
      <c r="X39" s="7"/>
      <c r="Y39" s="7"/>
      <c r="Z39" s="7"/>
      <c r="AA39" s="7"/>
    </row>
    <row r="40" ht="16.6" customHeight="1">
      <c r="A40" s="66"/>
      <c r="B40" s="95"/>
      <c r="C40" s="7"/>
      <c r="D40" s="66"/>
      <c r="E40" s="66"/>
      <c r="F40" s="65">
        <f>D40*E40</f>
        <v>0</v>
      </c>
      <c r="G40" s="7"/>
      <c r="H40" s="7"/>
      <c r="I40" s="7"/>
      <c r="J40" s="7"/>
      <c r="K40" s="7"/>
      <c r="L40" s="7"/>
      <c r="M40" s="7"/>
      <c r="N40" s="7"/>
      <c r="O40" s="7"/>
      <c r="P40" s="7"/>
      <c r="Q40" s="7"/>
      <c r="R40" s="7"/>
      <c r="S40" s="7"/>
      <c r="T40" s="7"/>
      <c r="U40" s="7"/>
      <c r="V40" s="7"/>
      <c r="W40" s="7"/>
      <c r="X40" s="7"/>
      <c r="Y40" s="7"/>
      <c r="Z40" s="7"/>
      <c r="AA40" s="7"/>
    </row>
    <row r="41" ht="12.75" customHeight="1">
      <c r="A41" t="s" s="61">
        <v>36</v>
      </c>
      <c r="B41" s="7"/>
      <c r="C41" s="7"/>
      <c r="D41" s="66"/>
      <c r="E41" s="66"/>
      <c r="F41" s="70">
        <f>D41*E41</f>
        <v>0</v>
      </c>
      <c r="G41" s="7"/>
      <c r="H41" s="7"/>
      <c r="I41" s="7"/>
      <c r="J41" s="7"/>
      <c r="K41" s="7"/>
      <c r="L41" s="7"/>
      <c r="M41" s="7"/>
      <c r="N41" s="7"/>
      <c r="O41" s="7"/>
      <c r="P41" s="7"/>
      <c r="Q41" s="7"/>
      <c r="R41" s="7"/>
      <c r="S41" s="7"/>
      <c r="T41" s="7"/>
      <c r="U41" s="7"/>
      <c r="V41" s="7"/>
      <c r="W41" s="7"/>
      <c r="X41" s="7"/>
      <c r="Y41" s="7"/>
      <c r="Z41" s="7"/>
      <c r="AA41" s="7"/>
    </row>
    <row r="42" ht="12.75" customHeight="1">
      <c r="A42" s="66"/>
      <c r="B42" s="66"/>
      <c r="C42" s="66"/>
      <c r="D42" s="66"/>
      <c r="E42" t="s" s="71">
        <v>37</v>
      </c>
      <c r="F42" s="72">
        <f>SUM(F2:F40)</f>
        <v>19.3688</v>
      </c>
      <c r="G42" s="73"/>
      <c r="H42" s="7"/>
      <c r="I42" s="7"/>
      <c r="J42" s="7"/>
      <c r="K42" s="7"/>
      <c r="L42" s="7"/>
      <c r="M42" s="7"/>
      <c r="N42" s="7"/>
      <c r="O42" s="7"/>
      <c r="P42" s="7"/>
      <c r="Q42" s="7"/>
      <c r="R42" s="7"/>
      <c r="S42" s="7"/>
      <c r="T42" s="7"/>
      <c r="U42" s="7"/>
      <c r="V42" s="7"/>
      <c r="W42" s="7"/>
      <c r="X42" s="7"/>
      <c r="Y42" s="7"/>
      <c r="Z42" s="7"/>
      <c r="AA42" s="7"/>
    </row>
    <row r="43" ht="12.75" customHeight="1">
      <c r="A43" s="7"/>
      <c r="B43" s="7"/>
      <c r="C43" s="7"/>
      <c r="D43" s="7"/>
      <c r="E43" s="7"/>
      <c r="F43" s="89"/>
      <c r="G43" s="7"/>
      <c r="H43" s="7"/>
      <c r="I43" s="7"/>
      <c r="J43" s="7"/>
      <c r="K43" s="7"/>
      <c r="L43" s="7"/>
      <c r="M43" s="7"/>
      <c r="N43" s="7"/>
      <c r="O43" s="7"/>
      <c r="P43" s="7"/>
      <c r="Q43" s="7"/>
      <c r="R43" s="7"/>
      <c r="S43" s="7"/>
      <c r="T43" s="7"/>
      <c r="U43" s="7"/>
      <c r="V43" s="7"/>
      <c r="W43" s="7"/>
      <c r="X43" s="7"/>
      <c r="Y43" s="7"/>
      <c r="Z43" s="7"/>
      <c r="AA43" s="7"/>
    </row>
    <row r="44" ht="12.75" customHeight="1">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ht="12.75" customHeight="1">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ht="12.75" customHeight="1">
      <c r="A46" s="66"/>
      <c r="B46" s="7"/>
      <c r="C46" s="7"/>
      <c r="D46" s="7"/>
      <c r="E46" s="7"/>
      <c r="F46" s="7"/>
      <c r="G46" s="7"/>
      <c r="H46" s="7"/>
      <c r="I46" s="7"/>
      <c r="J46" s="7"/>
      <c r="K46" s="7"/>
      <c r="L46" s="7"/>
      <c r="M46" s="7"/>
      <c r="N46" s="7"/>
      <c r="O46" s="7"/>
      <c r="P46" s="7"/>
      <c r="Q46" s="7"/>
      <c r="R46" s="7"/>
      <c r="S46" s="7"/>
      <c r="T46" s="7"/>
      <c r="U46" s="7"/>
      <c r="V46" s="7"/>
      <c r="W46" s="7"/>
      <c r="X46" s="7"/>
      <c r="Y46" s="7"/>
      <c r="Z46" s="7"/>
      <c r="AA46" s="7"/>
    </row>
    <row r="47" ht="12.75" customHeight="1">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ht="12.75" customHeight="1">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ht="12.75" customHeight="1">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ht="12.75" customHeight="1">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ht="12.75" customHeight="1">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ht="12.75" customHeight="1">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ht="12.75" customHeight="1">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ht="12.75" customHeight="1">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ht="12.75" customHeight="1">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ht="12.75" customHeight="1">
      <c r="A56" s="7"/>
      <c r="B56" s="7"/>
      <c r="C56" s="7"/>
      <c r="D56" s="7"/>
      <c r="E56" s="7"/>
      <c r="F56" s="7"/>
      <c r="G56" s="7"/>
      <c r="H56" s="7"/>
      <c r="I56" s="7"/>
      <c r="J56" s="7"/>
      <c r="K56" s="7"/>
      <c r="L56" s="7"/>
      <c r="M56" s="7"/>
      <c r="N56" s="7"/>
      <c r="O56" s="7"/>
      <c r="P56" s="7"/>
      <c r="Q56" s="7"/>
      <c r="R56" s="7"/>
      <c r="S56" s="7"/>
      <c r="T56" s="7"/>
      <c r="U56" s="7"/>
      <c r="V56" s="7"/>
      <c r="W56" s="7"/>
      <c r="X56" s="7"/>
      <c r="Y56" s="7"/>
      <c r="Z56" s="7"/>
      <c r="AA56" s="7"/>
    </row>
  </sheetData>
  <conditionalFormatting sqref="F2:F42">
    <cfRule type="cellIs" dxfId="2" priority="1" operator="lessThan" stopIfTrue="1">
      <formula>0</formula>
    </cfRule>
  </conditionalFormatting>
  <hyperlinks>
    <hyperlink ref="B2" r:id="rId1" location="" tooltip="" display="LCSC"/>
    <hyperlink ref="C2" r:id="rId2" location="" tooltip="" display="C14877"/>
    <hyperlink ref="B3" r:id="rId3" location="" tooltip="" display="LCSC"/>
    <hyperlink ref="C3" r:id="rId4" location="" tooltip="" display="C13738"/>
    <hyperlink ref="B4" r:id="rId5" location="" tooltip="" display="LCSC"/>
    <hyperlink ref="C4" r:id="rId6" location="" tooltip="" display="C8791"/>
    <hyperlink ref="B5" r:id="rId7" location="" tooltip="" display="LCSC"/>
    <hyperlink ref="C5" r:id="rId8" location="" tooltip="" display="C19213"/>
    <hyperlink ref="B6" r:id="rId9" location="" tooltip="" display="LCSC"/>
    <hyperlink ref="C6" r:id="rId10" location="" tooltip="" display="C347222"/>
    <hyperlink ref="B7" r:id="rId11" location="" tooltip="" display="LCSC"/>
    <hyperlink ref="C7" r:id="rId12" location="" tooltip="" display="C347223"/>
    <hyperlink ref="B8" r:id="rId13" location="" tooltip="" display="LCSC"/>
    <hyperlink ref="C8" r:id="rId14" location="" tooltip="" display="C49234121"/>
    <hyperlink ref="B9" r:id="rId15" location="" tooltip="" display="LCSC"/>
    <hyperlink ref="C9" r:id="rId16" location="" tooltip="" display="C19077684"/>
    <hyperlink ref="B10" r:id="rId17" location="" tooltip="" display="LCSC"/>
    <hyperlink ref="C10" r:id="rId18" location="" tooltip="" display="C42435492"/>
    <hyperlink ref="B11" r:id="rId19" location="" tooltip="" display="LCSC"/>
    <hyperlink ref="C11" r:id="rId20" location="" tooltip="" display="C49023767"/>
    <hyperlink ref="B12" r:id="rId21" location="" tooltip="" display="LCSC"/>
    <hyperlink ref="C12" r:id="rId22" location="" tooltip="" display="C2892681"/>
    <hyperlink ref="B13" r:id="rId23" location="" tooltip="" display="LCSC"/>
    <hyperlink ref="C13" r:id="rId24" location="" tooltip="" display="C3151830"/>
    <hyperlink ref="B14" r:id="rId25" location="" tooltip="" display="LCSC"/>
    <hyperlink ref="C14" r:id="rId26" location="" tooltip="" display="C72505"/>
    <hyperlink ref="B15" r:id="rId27" location="" tooltip="" display="LCSC"/>
    <hyperlink ref="C15" r:id="rId28" location="" tooltip="" display="C26413"/>
    <hyperlink ref="B16" r:id="rId29" location="" tooltip="" display="LCSC"/>
    <hyperlink ref="C16" r:id="rId30" location="" tooltip="" display="C14663"/>
    <hyperlink ref="B17" r:id="rId31" location="" tooltip="" display="LCSC"/>
    <hyperlink ref="C17" r:id="rId32" location="" tooltip="" display="C599735"/>
    <hyperlink ref="B18" r:id="rId33" location="" tooltip="" display="LCSC"/>
    <hyperlink ref="C18" r:id="rId34" location="" tooltip="" display="C1589"/>
    <hyperlink ref="B19" r:id="rId35" location="" tooltip="" display="LCSC"/>
    <hyperlink ref="C19" r:id="rId36" location="" tooltip="" display="C1621"/>
    <hyperlink ref="B20" r:id="rId37" location="" tooltip="" display="LCSC"/>
    <hyperlink ref="C20" r:id="rId38" location="" tooltip="" display="C33353"/>
    <hyperlink ref="B21" r:id="rId39" location="" tooltip="" display="LCSC"/>
    <hyperlink ref="C21" r:id="rId40" location="" tooltip="" display="C107081"/>
    <hyperlink ref="B22" r:id="rId41" location="" tooltip="" display="LCSC"/>
    <hyperlink ref="C22" r:id="rId42" location="" tooltip="" display="C107034"/>
    <hyperlink ref="B23" r:id="rId43" location="" tooltip="" display="LCSC"/>
    <hyperlink ref="C23" r:id="rId44" location="" tooltip="" display="C376772"/>
    <hyperlink ref="B24" r:id="rId45" location="" tooltip="" display="LCSC"/>
    <hyperlink ref="C24" r:id="rId46" location="" tooltip="" display="C5137611"/>
    <hyperlink ref="B25" r:id="rId47" location="" tooltip="" display="LCSC"/>
    <hyperlink ref="C25" r:id="rId48" location="" tooltip="" display="C5375816"/>
    <hyperlink ref="B26" r:id="rId49" location="" tooltip="" display="LCSC"/>
    <hyperlink ref="C26" r:id="rId50" location="" tooltip="" display="C6949223"/>
    <hyperlink ref="B27" r:id="rId51" location="" tooltip="" display="LCSC"/>
    <hyperlink ref="C27" r:id="rId52" location="" tooltip="" display="C2907128"/>
    <hyperlink ref="B28" r:id="rId53" location="" tooltip="" display="LCSC"/>
    <hyperlink ref="C28" r:id="rId54" location="" tooltip="" display="C2907124"/>
    <hyperlink ref="B29" r:id="rId55" location="" tooltip="" display="LCSC"/>
    <hyperlink ref="C29" r:id="rId56" location="" tooltip="" display="C2906982"/>
    <hyperlink ref="B30" r:id="rId57" location="" tooltip="" display="LCSC"/>
    <hyperlink ref="C30" r:id="rId58" location="" tooltip="" display="C2907022"/>
    <hyperlink ref="B31" r:id="rId59" location="" tooltip="" display="LCSC"/>
    <hyperlink ref="C31" r:id="rId60" location="" tooltip="" display="C2907113"/>
    <hyperlink ref="B32" r:id="rId61" location="" tooltip="" display="LCSC"/>
    <hyperlink ref="C32" r:id="rId62" location="" tooltip="" display="C17444183"/>
    <hyperlink ref="B33" r:id="rId63" location="" tooltip="" display="LCSC"/>
    <hyperlink ref="C33" r:id="rId64" location="" tooltip="" display="C412032"/>
    <hyperlink ref="B34" r:id="rId65" location="" tooltip="" display="LCSC"/>
    <hyperlink ref="C34" r:id="rId66" location="" tooltip="" display="C964023"/>
    <hyperlink ref="B35" r:id="rId67" location="" tooltip="" display="LCSC"/>
    <hyperlink ref="C35" r:id="rId68" location="" tooltip="" display="C5252358"/>
    <hyperlink ref="B36" r:id="rId69" location="" tooltip="" display="LCSC"/>
    <hyperlink ref="C36" r:id="rId70" location="" tooltip="" display="C395082"/>
    <hyperlink ref="B37" r:id="rId71" location="" tooltip="" display="LCSC"/>
    <hyperlink ref="C37" r:id="rId72" location="" tooltip="" display="C173290"/>
    <hyperlink ref="B38" r:id="rId73" location="" tooltip="" display="LCSC"/>
    <hyperlink ref="C38" r:id="rId74" location="" tooltip="" display="C19171390"/>
    <hyperlink ref="B39" r:id="rId75" location="" tooltip="" display="LCSC"/>
    <hyperlink ref="C39" r:id="rId76" location="" tooltip="" display="C19273151"/>
  </hyperlinks>
  <pageMargins left="0.7875" right="0.7875" top="1.05278" bottom="1.05278" header="0" footer="0"/>
  <pageSetup firstPageNumber="1" fitToHeight="1" fitToWidth="1" scale="100" useFirstPageNumber="0" orientation="portrait" pageOrder="downThenOver"/>
  <headerFooter>
    <oddHeader>&amp;C&amp;"Arial,Regular"&amp;11&amp;K000000ffffffLCSC</oddHeader>
    <oddFooter>&amp;C&amp;"Arial,Regular"&amp;11&amp;K000000ffffffPage &amp;P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