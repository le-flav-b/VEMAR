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urrent_projects\VEMAR\kicad\BOM\"/>
    </mc:Choice>
  </mc:AlternateContent>
  <xr:revisionPtr revIDLastSave="0" documentId="13_ncr:1_{D97152BA-568D-4204-8423-DFFD6E599ED5}" xr6:coauthVersionLast="47" xr6:coauthVersionMax="47" xr10:uidLastSave="{00000000-0000-0000-0000-000000000000}"/>
  <bookViews>
    <workbookView xWindow="-110" yWindow="-110" windowWidth="25820" windowHeight="16220" activeTab="2" xr2:uid="{00000000-000D-0000-FFFF-FFFF00000000}"/>
  </bookViews>
  <sheets>
    <sheet name="Feuil1" sheetId="1" r:id="rId1"/>
    <sheet name="AliExpress" sheetId="2" r:id="rId2"/>
    <sheet name="LCSC" sheetId="3" r:id="rId3"/>
    <sheet name="Mous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3" l="1"/>
  <c r="B46" i="3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37" i="3"/>
  <c r="F2" i="4"/>
  <c r="F5" i="4" s="1"/>
  <c r="F7" i="4" s="1"/>
  <c r="C15" i="1" s="1"/>
  <c r="F78" i="3"/>
  <c r="F77" i="3"/>
  <c r="F75" i="3"/>
  <c r="F74" i="3"/>
  <c r="F73" i="3"/>
  <c r="F72" i="3"/>
  <c r="F44" i="3"/>
  <c r="F43" i="3"/>
  <c r="F42" i="3"/>
  <c r="F41" i="3"/>
  <c r="F40" i="3"/>
  <c r="F39" i="3"/>
  <c r="F38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F2" i="3"/>
  <c r="F8" i="2"/>
  <c r="F7" i="2"/>
  <c r="F10" i="2" s="1"/>
  <c r="C13" i="1" s="1"/>
  <c r="F6" i="2"/>
  <c r="F5" i="2"/>
  <c r="F4" i="2"/>
  <c r="F3" i="2"/>
  <c r="B3" i="2"/>
  <c r="B4" i="2" s="1"/>
  <c r="B5" i="2" s="1"/>
  <c r="B6" i="2" s="1"/>
  <c r="F2" i="2"/>
  <c r="F79" i="3" l="1"/>
  <c r="C14" i="1" s="1"/>
  <c r="C33" i="1" s="1"/>
  <c r="B16" i="3"/>
  <c r="B17" i="3"/>
  <c r="B15" i="3"/>
  <c r="B18" i="3" l="1"/>
  <c r="B20" i="3" s="1"/>
  <c r="B22" i="3" s="1"/>
  <c r="B19" i="3"/>
  <c r="B21" i="3" s="1"/>
  <c r="B24" i="3" l="1"/>
  <c r="B27" i="3" s="1"/>
  <c r="B25" i="3"/>
  <c r="B23" i="3"/>
  <c r="B29" i="3"/>
  <c r="B26" i="3"/>
  <c r="B32" i="3"/>
  <c r="B34" i="3" s="1"/>
  <c r="B37" i="3" s="1"/>
  <c r="B30" i="3" l="1"/>
  <c r="B28" i="3"/>
  <c r="B31" i="3"/>
  <c r="B33" i="3"/>
  <c r="B35" i="3" l="1"/>
  <c r="B36" i="3"/>
  <c r="B38" i="3" s="1"/>
  <c r="B39" i="3" s="1"/>
  <c r="B40" i="3" s="1"/>
  <c r="B42" i="3" l="1"/>
  <c r="B43" i="3" s="1"/>
  <c r="B44" i="3" s="1"/>
  <c r="B72" i="3" s="1"/>
  <c r="B73" i="3" s="1"/>
  <c r="B74" i="3" s="1"/>
  <c r="B75" i="3" s="1"/>
  <c r="B41" i="3"/>
</calcChain>
</file>

<file path=xl/sharedStrings.xml><?xml version="1.0" encoding="utf-8"?>
<sst xmlns="http://schemas.openxmlformats.org/spreadsheetml/2006/main" count="204" uniqueCount="184">
  <si>
    <t>Date :</t>
  </si>
  <si>
    <t>2026/00/00</t>
  </si>
  <si>
    <t>Pôle :</t>
  </si>
  <si>
    <t>42 Chips</t>
  </si>
  <si>
    <t>Responsable :</t>
  </si>
  <si>
    <t>Robin K.</t>
  </si>
  <si>
    <t>DEMANDE DE DEPENSE</t>
  </si>
  <si>
    <t>Fournisseur</t>
  </si>
  <si>
    <t>TTC</t>
  </si>
  <si>
    <t>Commentaires</t>
  </si>
  <si>
    <t>Validation 42</t>
  </si>
  <si>
    <t>AliExpress</t>
  </si>
  <si>
    <t>Equipements Labelec</t>
  </si>
  <si>
    <t>LCSC</t>
  </si>
  <si>
    <t>Mouser</t>
  </si>
  <si>
    <t>Commentaire</t>
  </si>
  <si>
    <t>RefFournisseur</t>
  </si>
  <si>
    <t>PrixUnitaire (TTC)</t>
  </si>
  <si>
    <t>Quantitée</t>
  </si>
  <si>
    <t>PrixTotal (TTC)</t>
  </si>
  <si>
    <t>10Pcs SMA Female Jack Male Plug Adapter</t>
  </si>
  <si>
    <r>
      <rPr>
        <u/>
        <sz val="12"/>
        <color indexed="11"/>
        <rFont val="Arial"/>
      </rPr>
      <t>AliExpress</t>
    </r>
  </si>
  <si>
    <r>
      <rPr>
        <u/>
        <sz val="12"/>
        <color indexed="11"/>
        <rFont val="Arial"/>
      </rPr>
      <t>No 7 X 10PCS</t>
    </r>
  </si>
  <si>
    <t>2.4G Wifi Antenna 3dBi Foldable</t>
  </si>
  <si>
    <r>
      <rPr>
        <u/>
        <sz val="12"/>
        <color indexed="11"/>
        <rFont val="Arial"/>
      </rPr>
      <t>2.4g antenna x1</t>
    </r>
  </si>
  <si>
    <t>3.2 inch TFT LCD display No Touch Module ILI9341</t>
  </si>
  <si>
    <r>
      <rPr>
        <u/>
        <sz val="12"/>
        <color indexed="11"/>
        <rFont val="Arial"/>
      </rPr>
      <t>TN 3.2 No Touch</t>
    </r>
  </si>
  <si>
    <t>Replacement Hall effect Joystick 3D Analog Sensor ThumbStick</t>
  </si>
  <si>
    <r>
      <rPr>
        <u/>
        <sz val="12"/>
        <color indexed="11"/>
        <rFont val="Arial"/>
      </rPr>
      <t>For PS4 2PCS</t>
    </r>
  </si>
  <si>
    <t>10Pcs MTS-103 DPDT ON-OFF-ON Toggle Switch</t>
  </si>
  <si>
    <r>
      <rPr>
        <u/>
        <sz val="12"/>
        <color indexed="11"/>
        <rFont val="Arial"/>
      </rPr>
      <t>MTS103 Dark Blue</t>
    </r>
  </si>
  <si>
    <t>Livraison et expédition</t>
  </si>
  <si>
    <t>Total (TTC)</t>
  </si>
  <si>
    <t>AVR 8 Bit 20MHz 23 TQFP-32(7x7) Microcontrollers RoHS</t>
  </si>
  <si>
    <r>
      <rPr>
        <u/>
        <sz val="11"/>
        <color indexed="11"/>
        <rFont val="Arial"/>
      </rPr>
      <t>LCSC</t>
    </r>
  </si>
  <si>
    <r>
      <rPr>
        <u/>
        <sz val="11"/>
        <color indexed="11"/>
        <rFont val="Arial"/>
      </rPr>
      <t>C14877</t>
    </r>
  </si>
  <si>
    <t>YXC Crystal Oscillators X322516MLB4SI</t>
  </si>
  <si>
    <r>
      <rPr>
        <u/>
        <sz val="11"/>
        <color indexed="11"/>
        <rFont val="Arial"/>
      </rPr>
      <t>C13738</t>
    </r>
  </si>
  <si>
    <t>NORDIC NRF24L01P-R (Transceiver)</t>
  </si>
  <si>
    <r>
      <rPr>
        <u/>
        <sz val="11"/>
        <color indexed="11"/>
        <rFont val="Arial"/>
      </rPr>
      <t>C8791</t>
    </r>
  </si>
  <si>
    <t>SKYWORKS RFX2401C (RF Front End)</t>
  </si>
  <si>
    <r>
      <rPr>
        <u/>
        <sz val="11"/>
        <color indexed="11"/>
        <rFont val="Arial"/>
      </rPr>
      <t>C19213</t>
    </r>
  </si>
  <si>
    <t>UMW AMS1117-3.3 (LDO)</t>
  </si>
  <si>
    <r>
      <rPr>
        <sz val="11"/>
        <color indexed="11"/>
        <rFont val="Arial"/>
      </rPr>
      <t>C347222</t>
    </r>
  </si>
  <si>
    <t>UMW AMS1117-5.0 (LDO)</t>
  </si>
  <si>
    <r>
      <rPr>
        <u/>
        <sz val="11"/>
        <color indexed="11"/>
        <rFont val="Arial"/>
      </rPr>
      <t>C347223</t>
    </r>
  </si>
  <si>
    <t>hanxia HX-B3U-1000P-1.6N (Tactile Switch)</t>
  </si>
  <si>
    <r>
      <rPr>
        <u/>
        <sz val="11"/>
        <color indexed="11"/>
        <rFont val="Arial"/>
      </rPr>
      <t>C49234121</t>
    </r>
  </si>
  <si>
    <t>Yuandi TS-1094TS-B3D2-T-Y (Tactile Switch)</t>
  </si>
  <si>
    <r>
      <rPr>
        <u/>
        <sz val="11"/>
        <color indexed="11"/>
        <rFont val="Arial"/>
      </rPr>
      <t>C19077684</t>
    </r>
  </si>
  <si>
    <t>Khon SC203AD1 (Switch Cap)</t>
  </si>
  <si>
    <r>
      <rPr>
        <u/>
        <sz val="11"/>
        <color indexed="11"/>
        <rFont val="Arial"/>
      </rPr>
      <t>C42435492</t>
    </r>
  </si>
  <si>
    <t>SHOU HAN MST-12D18G4 SPDT Slide Switch</t>
  </si>
  <si>
    <r>
      <rPr>
        <u/>
        <sz val="11"/>
        <color indexed="11"/>
        <rFont val="Arial"/>
      </rPr>
      <t>C49023767</t>
    </r>
  </si>
  <si>
    <t>YONGYUTAI 1N4007 (Diode)</t>
  </si>
  <si>
    <r>
      <rPr>
        <u/>
        <sz val="11"/>
        <color indexed="11"/>
        <rFont val="Arial"/>
      </rPr>
      <t>C2892681</t>
    </r>
  </si>
  <si>
    <t>ROQANG RVT1V101M0605 (Capacitor 100uF)</t>
  </si>
  <si>
    <r>
      <rPr>
        <u/>
        <sz val="11"/>
        <color indexed="11"/>
        <rFont val="Arial"/>
      </rPr>
      <t>C3151830</t>
    </r>
  </si>
  <si>
    <t>ROQANG RVT1H220M0605 (Capacitor 22uF)</t>
  </si>
  <si>
    <r>
      <rPr>
        <u/>
        <sz val="11"/>
        <color indexed="11"/>
        <rFont val="Arial"/>
      </rPr>
      <t>C72505</t>
    </r>
  </si>
  <si>
    <t>Samsung Electro-Mechanics CL31B106KBHNNNE (Capacitor 10 uF)</t>
  </si>
  <si>
    <r>
      <rPr>
        <u/>
        <sz val="11"/>
        <color indexed="11"/>
        <rFont val="Arial"/>
      </rPr>
      <t>C89632</t>
    </r>
  </si>
  <si>
    <t>muRata GRM21BZ71H475KE15L (Capacitor 4.7 uF)</t>
  </si>
  <si>
    <r>
      <rPr>
        <u/>
        <sz val="11"/>
        <color indexed="11"/>
        <rFont val="Arial"/>
      </rPr>
      <t>C437557</t>
    </r>
  </si>
  <si>
    <t>Samsung Electro-Mechanics CL10A105KP8NNNC (Capacitor 1uF)</t>
  </si>
  <si>
    <r>
      <rPr>
        <sz val="11"/>
        <color indexed="11"/>
        <rFont val="Arial"/>
      </rPr>
      <t>C26413</t>
    </r>
  </si>
  <si>
    <t>YAGEO CC0603KRX7R9BB104 (Capacitor 100nF)</t>
  </si>
  <si>
    <r>
      <rPr>
        <sz val="11"/>
        <color indexed="11"/>
        <rFont val="Arial"/>
      </rPr>
      <t>C14663</t>
    </r>
  </si>
  <si>
    <t>KEMET C0603C333K4RAC7867 (Capacitor 33nF)</t>
  </si>
  <si>
    <r>
      <rPr>
        <sz val="11"/>
        <color indexed="11"/>
        <rFont val="Arial"/>
      </rPr>
      <t>C599735</t>
    </r>
  </si>
  <si>
    <t>Samsung Electro-Mechanics CL10B103KB8NNNC (Capacitor 10 nF)</t>
  </si>
  <si>
    <r>
      <rPr>
        <sz val="11"/>
        <color indexed="11"/>
        <rFont val="Arial"/>
      </rPr>
      <t>C1589</t>
    </r>
  </si>
  <si>
    <t>Samsung Electro-Mechanics CL10B472KB8NNNC (Capacitor 4.7nF)</t>
  </si>
  <si>
    <r>
      <rPr>
        <sz val="11"/>
        <color indexed="11"/>
        <rFont val="Arial"/>
      </rPr>
      <t>C1621</t>
    </r>
  </si>
  <si>
    <t>Samsung Electro-Mechanics CL10C222JB8NNNC (Capacitor 2.2nF)</t>
  </si>
  <si>
    <r>
      <rPr>
        <sz val="11"/>
        <color indexed="11"/>
        <rFont val="Arial"/>
      </rPr>
      <t>C33353</t>
    </r>
  </si>
  <si>
    <t>Samsung Electro-Mechanics CL10C222JB8NNNC (Capacitor 1nF)</t>
  </si>
  <si>
    <r>
      <rPr>
        <u/>
        <sz val="11"/>
        <color indexed="11"/>
        <rFont val="Arial"/>
      </rPr>
      <t>C1588</t>
    </r>
  </si>
  <si>
    <t>YAGEO CC0603KRX7R9BB221 (Capacitor 220pF)</t>
  </si>
  <si>
    <r>
      <rPr>
        <sz val="11"/>
        <color indexed="11"/>
        <rFont val="Arial"/>
      </rPr>
      <t>C107081</t>
    </r>
  </si>
  <si>
    <t>YAGEO CC0603JRNPO9BN120 (Capacitor 12pF)</t>
  </si>
  <si>
    <r>
      <rPr>
        <sz val="11"/>
        <color indexed="11"/>
        <rFont val="Arial"/>
      </rPr>
      <t>C107034</t>
    </r>
  </si>
  <si>
    <t>CCTC TCC0603COG1R5C500CT (Capacitor 1.5pF)</t>
  </si>
  <si>
    <r>
      <rPr>
        <sz val="11"/>
        <color indexed="11"/>
        <rFont val="Arial"/>
      </rPr>
      <t>C376772</t>
    </r>
  </si>
  <si>
    <t>FOJAN FCC0603N1R0C500CT (1pF)</t>
  </si>
  <si>
    <r>
      <rPr>
        <sz val="11"/>
        <color indexed="11"/>
        <rFont val="Arial"/>
      </rPr>
      <t>C5137611</t>
    </r>
  </si>
  <si>
    <t>CCTC TCC0603COG0R3B500CT (Capacitor 0.3pF)</t>
  </si>
  <si>
    <r>
      <rPr>
        <sz val="11"/>
        <color indexed="11"/>
        <rFont val="Arial"/>
      </rPr>
      <t>C5375816</t>
    </r>
  </si>
  <si>
    <t>YAGEO PA0603FRP070R001L (Resistor 1MΩ)</t>
  </si>
  <si>
    <r>
      <rPr>
        <sz val="11"/>
        <color indexed="11"/>
        <rFont val="Arial"/>
      </rPr>
      <t>C6949223</t>
    </r>
  </si>
  <si>
    <t>FOJAN FRC0603J223 TS (Resistor 22kΩ)</t>
  </si>
  <si>
    <r>
      <rPr>
        <sz val="11"/>
        <color indexed="11"/>
        <rFont val="Arial"/>
      </rPr>
      <t>C2907128</t>
    </r>
  </si>
  <si>
    <t>FOJAN FRC0603J203 TS (Resistor 20kΩ)</t>
  </si>
  <si>
    <r>
      <rPr>
        <sz val="11"/>
        <color indexed="11"/>
        <rFont val="Arial"/>
      </rPr>
      <t>C2907124</t>
    </r>
  </si>
  <si>
    <t>FOJAN FRC0603F1002TS (Resistor 10kΩ)</t>
  </si>
  <si>
    <r>
      <rPr>
        <sz val="11"/>
        <color indexed="11"/>
        <rFont val="Arial"/>
      </rPr>
      <t>C2906982</t>
    </r>
  </si>
  <si>
    <t>FOJAN FRC0603F2001TS (Resistor 2kΩ)</t>
  </si>
  <si>
    <r>
      <rPr>
        <sz val="11"/>
        <color indexed="11"/>
        <rFont val="Arial"/>
      </rPr>
      <t>C2907022</t>
    </r>
  </si>
  <si>
    <t>FOJAN FRC0603J102 TS (Resistor 1kΩ)</t>
  </si>
  <si>
    <r>
      <rPr>
        <sz val="11"/>
        <color indexed="11"/>
        <rFont val="Arial"/>
      </rPr>
      <t>C2907113</t>
    </r>
  </si>
  <si>
    <t>FOJAN FRC0603J331 TS (Resistor 330)</t>
  </si>
  <si>
    <r>
      <rPr>
        <u/>
        <sz val="11"/>
        <color indexed="11"/>
        <rFont val="Arial"/>
      </rPr>
      <t>C2907152</t>
    </r>
  </si>
  <si>
    <t>BOURNS PTA4543-2015DPB103 (Slide Potentiometer)</t>
  </si>
  <si>
    <r>
      <rPr>
        <sz val="11"/>
        <color indexed="11"/>
        <rFont val="Arial"/>
      </rPr>
      <t>C17444183</t>
    </r>
  </si>
  <si>
    <t>Sunltech SCC1608C8N2JSP (Inductor 8.2nH)</t>
  </si>
  <si>
    <r>
      <rPr>
        <sz val="11"/>
        <color indexed="11"/>
        <rFont val="Arial"/>
      </rPr>
      <t>C412032</t>
    </r>
  </si>
  <si>
    <t>HYHONGYEX HBLS1608-3N9S (Inductor 3.9nH)</t>
  </si>
  <si>
    <r>
      <rPr>
        <sz val="11"/>
        <color indexed="11"/>
        <rFont val="Arial"/>
      </rPr>
      <t>C964023</t>
    </r>
  </si>
  <si>
    <t>Chilisin BSCH001608082N7S00 (Inductor 2.7nH)</t>
  </si>
  <si>
    <r>
      <rPr>
        <sz val="11"/>
        <color indexed="11"/>
        <rFont val="Arial"/>
      </rPr>
      <t>C5252358</t>
    </r>
  </si>
  <si>
    <t>FH VHF160808H2N4ST (Inductor 2.4nH)</t>
  </si>
  <si>
    <r>
      <rPr>
        <sz val="11"/>
        <color indexed="11"/>
        <rFont val="Arial"/>
      </rPr>
      <t>C395082</t>
    </r>
  </si>
  <si>
    <t>muRata LQW18AN2N4C80D (Inductor 2.4nH)</t>
  </si>
  <si>
    <r>
      <rPr>
        <sz val="11"/>
        <color indexed="11"/>
        <rFont val="Arial"/>
      </rPr>
      <t>C173290</t>
    </r>
  </si>
  <si>
    <t>YONGYUTAI YLED0603R (LED Red)</t>
  </si>
  <si>
    <r>
      <rPr>
        <sz val="11"/>
        <color indexed="11"/>
        <rFont val="Arial"/>
      </rPr>
      <t>C19171390</t>
    </r>
  </si>
  <si>
    <t>YONGYUTAI YLED0603G (LED Green)</t>
  </si>
  <si>
    <r>
      <rPr>
        <sz val="11"/>
        <color indexed="11"/>
        <rFont val="Arial"/>
      </rPr>
      <t>C19273151</t>
    </r>
  </si>
  <si>
    <t>MICROCHIP ATTINY1614-SSN</t>
  </si>
  <si>
    <r>
      <rPr>
        <sz val="11"/>
        <color indexed="11"/>
        <rFont val="Arial"/>
      </rPr>
      <t>C614832</t>
    </r>
  </si>
  <si>
    <t>TI SN74LVC125ADR</t>
  </si>
  <si>
    <r>
      <rPr>
        <sz val="11"/>
        <color indexed="11"/>
        <rFont val="Arial"/>
      </rPr>
      <t>C7661</t>
    </r>
  </si>
  <si>
    <t>Bosch BME280</t>
  </si>
  <si>
    <r>
      <rPr>
        <sz val="11"/>
        <color indexed="11"/>
        <rFont val="Arial"/>
      </rPr>
      <t>C92489</t>
    </r>
  </si>
  <si>
    <t>ADI AD8552ARZ-REEL7</t>
  </si>
  <si>
    <r>
      <rPr>
        <sz val="11"/>
        <color indexed="11"/>
        <rFont val="Arial"/>
      </rPr>
      <t>C9642</t>
    </r>
  </si>
  <si>
    <t>MICS-6814</t>
  </si>
  <si>
    <r>
      <rPr>
        <u/>
        <sz val="11"/>
        <color indexed="11"/>
        <rFont val="Arial"/>
      </rPr>
      <t>523-MICS-6814</t>
    </r>
  </si>
  <si>
    <t>XRRH8D43-100M (Inductor 10uH)</t>
  </si>
  <si>
    <t>C5351469</t>
  </si>
  <si>
    <t>Micro SD card (TF card)</t>
  </si>
  <si>
    <t>C428492</t>
  </si>
  <si>
    <t>C2682775</t>
  </si>
  <si>
    <t>YXC Crystal Oscillators X32258MOB4SI</t>
  </si>
  <si>
    <t>YXC Crystal Oscillators XKXGI-SUA-32.768K</t>
  </si>
  <si>
    <t>C5213671</t>
  </si>
  <si>
    <t>FOSAN SS36</t>
  </si>
  <si>
    <t>C3014012</t>
  </si>
  <si>
    <t>TI TPS54302DDCR buck converter</t>
  </si>
  <si>
    <t>C311983</t>
  </si>
  <si>
    <t>Rubycon 35YXJ470M10x16 (capacitor alu 470uF)</t>
  </si>
  <si>
    <t>C88732</t>
  </si>
  <si>
    <t>Rubycon 50YXF10MEFC5X11 (capacitor alu 10uF)</t>
  </si>
  <si>
    <t>C88726</t>
  </si>
  <si>
    <t>Rubycon 50YXF22MEFC5X11  (capacitor alu 22uF)</t>
  </si>
  <si>
    <t>C88755</t>
  </si>
  <si>
    <t>CL10A226MO7JZNC (Capacitor 22uF)</t>
  </si>
  <si>
    <t>C2762594</t>
  </si>
  <si>
    <t>C20917</t>
  </si>
  <si>
    <t>MOSFET N-CH AO3400A</t>
  </si>
  <si>
    <t>MOSFET P-CH FQP27P06</t>
  </si>
  <si>
    <t>C7503194</t>
  </si>
  <si>
    <t>Bipolar Transistor NPN 2N3904X</t>
  </si>
  <si>
    <t>C5156722</t>
  </si>
  <si>
    <t>MOSFET P-CH AO3401A</t>
  </si>
  <si>
    <t>C15127</t>
  </si>
  <si>
    <t>MICROCHIP ATMEGA128A-AU</t>
  </si>
  <si>
    <t>C6510</t>
  </si>
  <si>
    <t>MICROCHIP ATMEGA328P-AU</t>
  </si>
  <si>
    <t>C14877</t>
  </si>
  <si>
    <t>Bosch BNO055 accelerometer</t>
  </si>
  <si>
    <t>C93216</t>
  </si>
  <si>
    <t>CL10A106MA8NRNC (Capacitor 10uF)</t>
  </si>
  <si>
    <t>C96446</t>
  </si>
  <si>
    <t>CC0603JRNPO9BN750 (Capacitor 75pF)</t>
  </si>
  <si>
    <t>C282074</t>
  </si>
  <si>
    <t>Viking ARG03BTC5113 (Resistor 511kΩ)</t>
  </si>
  <si>
    <t>C2684557</t>
  </si>
  <si>
    <t>PANASONIC ERA3AEB1053V (Resistor 105kΩ)</t>
  </si>
  <si>
    <t>C491109</t>
  </si>
  <si>
    <t>FOJAN FRC0603F4322TS (Resistor 43.2kΩ)</t>
  </si>
  <si>
    <t>C2930102</t>
  </si>
  <si>
    <t>FOJAN FRC0603F5761TS (Resistor 5.76kΩ)</t>
  </si>
  <si>
    <t>C2933239</t>
  </si>
  <si>
    <t>FOJAN FRC0603F4701TS (Resistor 4.7kΩ)</t>
  </si>
  <si>
    <t>C2907034</t>
  </si>
  <si>
    <t>UNI-ROYAL 0603WAJ0681T5E (Resistor 680Ω)</t>
  </si>
  <si>
    <t>C25253</t>
  </si>
  <si>
    <t>FOJAN FRC0603F1000TS (Resistor 100Ω)</t>
  </si>
  <si>
    <t>C2906981</t>
  </si>
  <si>
    <t>FOJAN FRC0603J470 TS (Resistor 47Ω)</t>
  </si>
  <si>
    <t>C2907174</t>
  </si>
  <si>
    <t>FOJAN FRC0603F1R00TS (Resistor 1Ω)</t>
  </si>
  <si>
    <t>C2907004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</si>
</sst>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[$€-2];&quot;-&quot;#,##0.00&quot; &quot;[$€-2]"/>
  </numFmts>
  <fonts count="11" x14ac:knownFonts="1">
    <font>
      <sz val="11"/>
      <color indexed="8"/>
      <name val="Arial"/>
    </font>
    <font>
      <sz val="11"/>
      <color indexed="8"/>
      <name val="Calibri"/>
    </font>
    <font>
      <sz val="36"/>
      <color indexed="8"/>
      <name val="Calibri"/>
    </font>
    <font>
      <sz val="12"/>
      <color indexed="8"/>
      <name val="Arial"/>
    </font>
    <font>
      <u/>
      <sz val="12"/>
      <color indexed="11"/>
      <name val="Arial"/>
    </font>
    <font>
      <u/>
      <sz val="12"/>
      <color indexed="8"/>
      <name val="Arial"/>
    </font>
    <font>
      <u/>
      <sz val="11"/>
      <color indexed="11"/>
      <name val="Arial"/>
    </font>
    <font>
      <u/>
      <sz val="11"/>
      <color indexed="8"/>
      <name val="Arial"/>
    </font>
    <font>
      <sz val="11"/>
      <color indexed="11"/>
      <name val="Arial"/>
    </font>
    <font>
      <u/>
      <sz val="11"/>
      <color theme="10"/>
      <name val="Arial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</borders>
  <cellStyleXfs count="2">
    <xf numFmtId="0" fontId="0" fillId="0" borderId="0" applyNumberFormat="0" applyFill="0" applyBorder="0" applyProtection="0"/>
    <xf numFmtId="0" fontId="9" fillId="0" borderId="0" applyNumberFormat="0" applyFill="0" applyBorder="0" applyAlignment="0" applyProtection="0"/>
  </cellStyleXfs>
  <cellXfs count="92">
    <xf numFmtId="0" fontId="0" fillId="0" borderId="0" xfId="0"/>
    <xf numFmtId="0" fontId="0" fillId="0" borderId="0" xfId="0" applyNumberFormat="1"/>
    <xf numFmtId="1" fontId="0" fillId="2" borderId="1" xfId="0" applyNumberFormat="1" applyFill="1" applyBorder="1"/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/>
    <xf numFmtId="1" fontId="1" fillId="2" borderId="1" xfId="0" applyNumberFormat="1" applyFont="1" applyFill="1" applyBorder="1"/>
    <xf numFmtId="1" fontId="0" fillId="2" borderId="2" xfId="0" applyNumberFormat="1" applyFill="1" applyBorder="1"/>
    <xf numFmtId="1" fontId="1" fillId="2" borderId="3" xfId="0" applyNumberFormat="1" applyFont="1" applyFill="1" applyBorder="1"/>
    <xf numFmtId="49" fontId="1" fillId="2" borderId="4" xfId="0" applyNumberFormat="1" applyFont="1" applyFill="1" applyBorder="1"/>
    <xf numFmtId="49" fontId="1" fillId="2" borderId="5" xfId="0" applyNumberFormat="1" applyFont="1" applyFill="1" applyBorder="1"/>
    <xf numFmtId="49" fontId="1" fillId="2" borderId="6" xfId="0" applyNumberFormat="1" applyFont="1" applyFill="1" applyBorder="1"/>
    <xf numFmtId="49" fontId="1" fillId="2" borderId="3" xfId="0" applyNumberFormat="1" applyFont="1" applyFill="1" applyBorder="1"/>
    <xf numFmtId="1" fontId="0" fillId="2" borderId="7" xfId="0" applyNumberFormat="1" applyFill="1" applyBorder="1"/>
    <xf numFmtId="1" fontId="1" fillId="2" borderId="8" xfId="0" applyNumberFormat="1" applyFont="1" applyFill="1" applyBorder="1" applyAlignment="1">
      <alignment horizontal="right"/>
    </xf>
    <xf numFmtId="49" fontId="3" fillId="2" borderId="9" xfId="0" applyNumberFormat="1" applyFont="1" applyFill="1" applyBorder="1"/>
    <xf numFmtId="164" fontId="3" fillId="2" borderId="10" xfId="0" applyNumberFormat="1" applyFont="1" applyFill="1" applyBorder="1" applyAlignment="1">
      <alignment horizontal="right"/>
    </xf>
    <xf numFmtId="49" fontId="3" fillId="2" borderId="11" xfId="0" applyNumberFormat="1" applyFont="1" applyFill="1" applyBorder="1"/>
    <xf numFmtId="1" fontId="1" fillId="2" borderId="8" xfId="0" applyNumberFormat="1" applyFont="1" applyFill="1" applyBorder="1"/>
    <xf numFmtId="1" fontId="1" fillId="2" borderId="12" xfId="0" applyNumberFormat="1" applyFont="1" applyFill="1" applyBorder="1" applyAlignment="1">
      <alignment horizontal="right"/>
    </xf>
    <xf numFmtId="49" fontId="3" fillId="2" borderId="13" xfId="0" applyNumberFormat="1" applyFont="1" applyFill="1" applyBorder="1"/>
    <xf numFmtId="164" fontId="3" fillId="2" borderId="14" xfId="0" applyNumberFormat="1" applyFont="1" applyFill="1" applyBorder="1" applyAlignment="1">
      <alignment horizontal="right"/>
    </xf>
    <xf numFmtId="49" fontId="3" fillId="2" borderId="15" xfId="0" applyNumberFormat="1" applyFont="1" applyFill="1" applyBorder="1"/>
    <xf numFmtId="1" fontId="1" fillId="2" borderId="12" xfId="0" applyNumberFormat="1" applyFont="1" applyFill="1" applyBorder="1"/>
    <xf numFmtId="49" fontId="3" fillId="2" borderId="16" xfId="0" applyNumberFormat="1" applyFont="1" applyFill="1" applyBorder="1"/>
    <xf numFmtId="164" fontId="3" fillId="2" borderId="17" xfId="0" applyNumberFormat="1" applyFont="1" applyFill="1" applyBorder="1" applyAlignment="1">
      <alignment horizontal="right"/>
    </xf>
    <xf numFmtId="49" fontId="3" fillId="2" borderId="18" xfId="0" applyNumberFormat="1" applyFont="1" applyFill="1" applyBorder="1"/>
    <xf numFmtId="1" fontId="3" fillId="2" borderId="13" xfId="0" applyNumberFormat="1" applyFont="1" applyFill="1" applyBorder="1"/>
    <xf numFmtId="1" fontId="3" fillId="2" borderId="15" xfId="0" applyNumberFormat="1" applyFont="1" applyFill="1" applyBorder="1"/>
    <xf numFmtId="1" fontId="0" fillId="2" borderId="12" xfId="0" applyNumberFormat="1" applyFill="1" applyBorder="1"/>
    <xf numFmtId="1" fontId="3" fillId="2" borderId="16" xfId="0" applyNumberFormat="1" applyFont="1" applyFill="1" applyBorder="1"/>
    <xf numFmtId="1" fontId="3" fillId="2" borderId="18" xfId="0" applyNumberFormat="1" applyFont="1" applyFill="1" applyBorder="1"/>
    <xf numFmtId="1" fontId="1" fillId="2" borderId="7" xfId="0" applyNumberFormat="1" applyFont="1" applyFill="1" applyBorder="1"/>
    <xf numFmtId="1" fontId="0" fillId="2" borderId="13" xfId="0" applyNumberFormat="1" applyFill="1" applyBorder="1"/>
    <xf numFmtId="1" fontId="0" fillId="2" borderId="16" xfId="0" applyNumberFormat="1" applyFill="1" applyBorder="1"/>
    <xf numFmtId="164" fontId="0" fillId="2" borderId="17" xfId="0" applyNumberFormat="1" applyFill="1" applyBorder="1"/>
    <xf numFmtId="164" fontId="0" fillId="2" borderId="14" xfId="0" applyNumberFormat="1" applyFill="1" applyBorder="1"/>
    <xf numFmtId="1" fontId="0" fillId="2" borderId="17" xfId="0" applyNumberFormat="1" applyFill="1" applyBorder="1"/>
    <xf numFmtId="1" fontId="0" fillId="2" borderId="18" xfId="0" applyNumberFormat="1" applyFill="1" applyBorder="1"/>
    <xf numFmtId="1" fontId="0" fillId="2" borderId="14" xfId="0" applyNumberFormat="1" applyFill="1" applyBorder="1"/>
    <xf numFmtId="1" fontId="0" fillId="2" borderId="15" xfId="0" applyNumberFormat="1" applyFill="1" applyBorder="1"/>
    <xf numFmtId="1" fontId="1" fillId="2" borderId="19" xfId="0" applyNumberFormat="1" applyFont="1" applyFill="1" applyBorder="1" applyAlignment="1">
      <alignment horizontal="right"/>
    </xf>
    <xf numFmtId="1" fontId="0" fillId="2" borderId="20" xfId="0" applyNumberFormat="1" applyFill="1" applyBorder="1"/>
    <xf numFmtId="1" fontId="0" fillId="2" borderId="21" xfId="0" applyNumberFormat="1" applyFill="1" applyBorder="1"/>
    <xf numFmtId="1" fontId="0" fillId="2" borderId="22" xfId="0" applyNumberFormat="1" applyFill="1" applyBorder="1"/>
    <xf numFmtId="1" fontId="0" fillId="2" borderId="19" xfId="0" applyNumberFormat="1" applyFill="1" applyBorder="1"/>
    <xf numFmtId="1" fontId="1" fillId="2" borderId="4" xfId="0" applyNumberFormat="1" applyFont="1" applyFill="1" applyBorder="1"/>
    <xf numFmtId="164" fontId="1" fillId="2" borderId="5" xfId="0" applyNumberFormat="1" applyFont="1" applyFill="1" applyBorder="1"/>
    <xf numFmtId="1" fontId="1" fillId="2" borderId="6" xfId="0" applyNumberFormat="1" applyFont="1" applyFill="1" applyBorder="1"/>
    <xf numFmtId="1" fontId="0" fillId="2" borderId="23" xfId="0" applyNumberFormat="1" applyFill="1" applyBorder="1"/>
    <xf numFmtId="49" fontId="3" fillId="2" borderId="1" xfId="0" applyNumberFormat="1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/>
    <xf numFmtId="49" fontId="4" fillId="2" borderId="1" xfId="0" applyNumberFormat="1" applyFont="1" applyFill="1" applyBorder="1"/>
    <xf numFmtId="1" fontId="3" fillId="2" borderId="1" xfId="0" applyNumberFormat="1" applyFont="1" applyFill="1" applyBorder="1"/>
    <xf numFmtId="164" fontId="3" fillId="2" borderId="1" xfId="0" applyNumberFormat="1" applyFont="1" applyFill="1" applyBorder="1"/>
    <xf numFmtId="49" fontId="5" fillId="2" borderId="1" xfId="0" applyNumberFormat="1" applyFont="1" applyFill="1" applyBorder="1"/>
    <xf numFmtId="1" fontId="5" fillId="2" borderId="1" xfId="0" applyNumberFormat="1" applyFont="1" applyFill="1" applyBorder="1"/>
    <xf numFmtId="164" fontId="3" fillId="2" borderId="24" xfId="0" applyNumberFormat="1" applyFont="1" applyFill="1" applyBorder="1"/>
    <xf numFmtId="49" fontId="3" fillId="2" borderId="25" xfId="0" applyNumberFormat="1" applyFont="1" applyFill="1" applyBorder="1"/>
    <xf numFmtId="164" fontId="3" fillId="2" borderId="14" xfId="0" applyNumberFormat="1" applyFont="1" applyFill="1" applyBorder="1"/>
    <xf numFmtId="1" fontId="0" fillId="2" borderId="26" xfId="0" applyNumberFormat="1" applyFill="1" applyBorder="1"/>
    <xf numFmtId="164" fontId="3" fillId="2" borderId="27" xfId="0" applyNumberFormat="1" applyFont="1" applyFill="1" applyBorder="1"/>
    <xf numFmtId="1" fontId="3" fillId="2" borderId="1" xfId="0" applyNumberFormat="1" applyFont="1" applyFill="1" applyBorder="1" applyAlignment="1">
      <alignment horizontal="right"/>
    </xf>
    <xf numFmtId="1" fontId="3" fillId="2" borderId="24" xfId="0" applyNumberFormat="1" applyFont="1" applyFill="1" applyBorder="1"/>
    <xf numFmtId="1" fontId="3" fillId="2" borderId="24" xfId="0" applyNumberFormat="1" applyFont="1" applyFill="1" applyBorder="1" applyAlignment="1">
      <alignment horizontal="left"/>
    </xf>
    <xf numFmtId="1" fontId="0" fillId="2" borderId="24" xfId="0" applyNumberFormat="1" applyFill="1" applyBorder="1"/>
    <xf numFmtId="1" fontId="3" fillId="2" borderId="28" xfId="0" applyNumberFormat="1" applyFont="1" applyFill="1" applyBorder="1"/>
    <xf numFmtId="1" fontId="3" fillId="2" borderId="14" xfId="0" applyNumberFormat="1" applyFont="1" applyFill="1" applyBorder="1"/>
    <xf numFmtId="1" fontId="0" fillId="2" borderId="29" xfId="0" applyNumberFormat="1" applyFill="1" applyBorder="1"/>
    <xf numFmtId="1" fontId="3" fillId="2" borderId="14" xfId="0" applyNumberFormat="1" applyFont="1" applyFill="1" applyBorder="1" applyAlignment="1">
      <alignment horizontal="right"/>
    </xf>
    <xf numFmtId="1" fontId="3" fillId="2" borderId="27" xfId="0" applyNumberFormat="1" applyFont="1" applyFill="1" applyBorder="1"/>
    <xf numFmtId="1" fontId="0" fillId="2" borderId="27" xfId="0" applyNumberFormat="1" applyFill="1" applyBorder="1"/>
    <xf numFmtId="164" fontId="3" fillId="2" borderId="1" xfId="0" applyNumberFormat="1" applyFont="1" applyFill="1" applyBorder="1" applyAlignment="1">
      <alignment horizontal="right"/>
    </xf>
    <xf numFmtId="1" fontId="0" fillId="2" borderId="1" xfId="0" applyNumberFormat="1" applyFill="1" applyBorder="1" applyAlignment="1">
      <alignment horizontal="right"/>
    </xf>
    <xf numFmtId="49" fontId="6" fillId="2" borderId="1" xfId="0" applyNumberFormat="1" applyFont="1" applyFill="1" applyBorder="1"/>
    <xf numFmtId="49" fontId="7" fillId="2" borderId="1" xfId="0" applyNumberFormat="1" applyFont="1" applyFill="1" applyBorder="1"/>
    <xf numFmtId="49" fontId="8" fillId="2" borderId="1" xfId="0" applyNumberFormat="1" applyFont="1" applyFill="1" applyBorder="1"/>
    <xf numFmtId="49" fontId="8" fillId="2" borderId="24" xfId="0" applyNumberFormat="1" applyFont="1" applyFill="1" applyBorder="1"/>
    <xf numFmtId="49" fontId="8" fillId="2" borderId="17" xfId="0" applyNumberFormat="1" applyFont="1" applyFill="1" applyBorder="1"/>
    <xf numFmtId="1" fontId="8" fillId="2" borderId="27" xfId="0" applyNumberFormat="1" applyFont="1" applyFill="1" applyBorder="1"/>
    <xf numFmtId="1" fontId="7" fillId="2" borderId="1" xfId="0" applyNumberFormat="1" applyFont="1" applyFill="1" applyBorder="1"/>
    <xf numFmtId="49" fontId="0" fillId="2" borderId="30" xfId="0" applyNumberFormat="1" applyFill="1" applyBorder="1" applyAlignment="1">
      <alignment wrapText="1"/>
    </xf>
    <xf numFmtId="49" fontId="6" fillId="2" borderId="31" xfId="0" applyNumberFormat="1" applyFont="1" applyFill="1" applyBorder="1" applyAlignment="1">
      <alignment wrapText="1"/>
    </xf>
    <xf numFmtId="0" fontId="0" fillId="2" borderId="32" xfId="0" applyFill="1" applyBorder="1"/>
    <xf numFmtId="0" fontId="0" fillId="2" borderId="33" xfId="0" applyFill="1" applyBorder="1"/>
    <xf numFmtId="0" fontId="0" fillId="2" borderId="34" xfId="0" applyFill="1" applyBorder="1"/>
    <xf numFmtId="164" fontId="3" fillId="2" borderId="35" xfId="0" applyNumberFormat="1" applyFont="1" applyFill="1" applyBorder="1"/>
    <xf numFmtId="0" fontId="0" fillId="2" borderId="36" xfId="0" applyFill="1" applyBorder="1"/>
    <xf numFmtId="49" fontId="9" fillId="2" borderId="1" xfId="1" applyNumberFormat="1" applyFill="1" applyBorder="1"/>
    <xf numFmtId="49" fontId="9" fillId="2" borderId="24" xfId="1" applyNumberFormat="1" applyFill="1" applyBorder="1"/>
    <xf numFmtId="49" fontId="10" fillId="2" borderId="1" xfId="0" applyNumberFormat="1" applyFont="1" applyFill="1" applyBorder="1"/>
  </cellXfs>
  <cellStyles count="2">
    <cellStyle name="Hyperlink" xfId="1" builtinId="8"/>
    <cellStyle name="Normal" xfId="0" builtinId="0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00FF"/>
      <rgbColor rgb="FFAAAAA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285840</xdr:colOff>
      <xdr:row>1</xdr:row>
      <xdr:rowOff>47519</xdr:rowOff>
    </xdr:from>
    <xdr:to>
      <xdr:col>1</xdr:col>
      <xdr:colOff>1241280</xdr:colOff>
      <xdr:row>8</xdr:row>
      <xdr:rowOff>47160</xdr:rowOff>
    </xdr:to>
    <xdr:pic>
      <xdr:nvPicPr>
        <xdr:cNvPr id="2" name="Imageimage1.png" descr="Image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839" y="218969"/>
          <a:ext cx="1666642" cy="119979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r.aliexpress.com/item/1005008600410715.html?spm=a2g0o.productlist.main.14.e4553a79seQWCn&amp;algo_pvid=0fff7174-f197-4145-b13f-47eb52dd528e&amp;algo_exp_id=0fff7174-f197-4145-b13f-47eb52dd528e-13&amp;pdp_ext_f=%257B%2522order%2522:%252211182%2522,%2522eval%2522:%25221%2522,%252" TargetMode="External"/><Relationship Id="rId3" Type="http://schemas.openxmlformats.org/officeDocument/2006/relationships/hyperlink" Target="https://fr.aliexpress.com/?spm=a2g0o.home.logo.1.864f7065nsY5sf" TargetMode="External"/><Relationship Id="rId7" Type="http://schemas.openxmlformats.org/officeDocument/2006/relationships/hyperlink" Target="https://fr.aliexpress.com/?spm=a2g0o.home.logo.1.864f7065nsY5sf" TargetMode="External"/><Relationship Id="rId2" Type="http://schemas.openxmlformats.org/officeDocument/2006/relationships/hyperlink" Target="https://fr.aliexpress.com/item/1005003176364619.html?spm=a2g0o.productlist.main.5.3a61c1b6FDwY9b&amp;algo_pvid=67a3683f-326e-4ab8-adf8-e4f890ed499d&amp;algo_exp_id=67a3683f-326e-4ab8-adf8-e4f890ed499d-4&amp;pdp_ext_f=%7B%22order%22:%22671%22,%22spu_best_type%22:%22se" TargetMode="External"/><Relationship Id="rId1" Type="http://schemas.openxmlformats.org/officeDocument/2006/relationships/hyperlink" Target="https://fr.aliexpress.com/?spm=a2g0o.home.logo.1.864f7065nsY5sf" TargetMode="External"/><Relationship Id="rId6" Type="http://schemas.openxmlformats.org/officeDocument/2006/relationships/hyperlink" Target="https://fr.aliexpress.com/item/1005007333267197.html?spm=a2g0o.productlist.main.33.2d20504csTVKGL&amp;algo_pvid=49277cee-cc16-4025-9f07-1f0b1d1c6933&amp;algo_exp_id=49277cee-cc16-4025-9f07-1f0b1d1c6933-32&amp;pdp_ext_f=%7B%22order%22:%2217%22,%22eval%22:%221%22,%22fr" TargetMode="External"/><Relationship Id="rId5" Type="http://schemas.openxmlformats.org/officeDocument/2006/relationships/hyperlink" Target="https://fr.aliexpress.com/?spm=a2g0o.home.logo.1.864f7065nsY5sf" TargetMode="External"/><Relationship Id="rId10" Type="http://schemas.openxmlformats.org/officeDocument/2006/relationships/hyperlink" Target="https://fr.aliexpress.com/item/1005008776985434.html?spm=a2g0o.productlist.main.41.540d1e74NA5uyj&amp;algo_pvid=2bf75a2f-333f-4444-a168-5d377d50d091&amp;algo_exp_id=2bf75a2f-333f-4444-a168-5d377d50d091-38&amp;pdp_ext_f=%7B%22order%22:%22244%22,%22spu_best_type%22:%22" TargetMode="External"/><Relationship Id="rId4" Type="http://schemas.openxmlformats.org/officeDocument/2006/relationships/hyperlink" Target="https://fr.aliexpress.com/item/1005006814234708.html?spm=a2g0o.detail.pcDetailTopMoreOtherSeller.5.384fe5rge5rgQn&amp;gps-id=pcDetailTopMoreOtherSeller&amp;scm=1007.40050.354490.0&amp;scm_id=1007.40050.354490.0&amp;scm-url=1007.40050.354490.0&amp;pvid=5adfec3e-cbf0-42de-b7f7" TargetMode="External"/><Relationship Id="rId9" Type="http://schemas.openxmlformats.org/officeDocument/2006/relationships/hyperlink" Target="https://fr.aliexpress.com/?spm=a2g0o.home.logo.1.864f7065nsY5sf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C72505.html?s_z=s_Passives%257CCapacitors%257CAluminum%2520Electrolytic%2520Capacitors" TargetMode="External"/><Relationship Id="rId117" Type="http://schemas.openxmlformats.org/officeDocument/2006/relationships/hyperlink" Target="https://www.lcsc.com/product-detail/C2907034.html" TargetMode="External"/><Relationship Id="rId21" Type="http://schemas.openxmlformats.org/officeDocument/2006/relationships/hyperlink" Target="https://www.lcsc.com/" TargetMode="External"/><Relationship Id="rId42" Type="http://schemas.openxmlformats.org/officeDocument/2006/relationships/hyperlink" Target="https://www.lcsc.com/product-detail/C33353.html?s_z=n_capacitor%25202.2nf%25200603" TargetMode="External"/><Relationship Id="rId47" Type="http://schemas.openxmlformats.org/officeDocument/2006/relationships/hyperlink" Target="https://www.lcsc.com/" TargetMode="External"/><Relationship Id="rId63" Type="http://schemas.openxmlformats.org/officeDocument/2006/relationships/hyperlink" Target="https://www.lcsc.com/" TargetMode="External"/><Relationship Id="rId68" Type="http://schemas.openxmlformats.org/officeDocument/2006/relationships/hyperlink" Target="https://www.lcsc.com/product-detail/C2907152.html?s_z=n_resistor%25200603%2520330Ohm" TargetMode="External"/><Relationship Id="rId84" Type="http://schemas.openxmlformats.org/officeDocument/2006/relationships/hyperlink" Target="https://www.lcsc.com/product-detail/C19273151.html?s_z=n_led%2520smd%25200603" TargetMode="External"/><Relationship Id="rId89" Type="http://schemas.openxmlformats.org/officeDocument/2006/relationships/hyperlink" Target="https://www.lcsc.com/" TargetMode="External"/><Relationship Id="rId112" Type="http://schemas.openxmlformats.org/officeDocument/2006/relationships/hyperlink" Target="https://www.lcsc.com/product-detail/C282074.html" TargetMode="External"/><Relationship Id="rId16" Type="http://schemas.openxmlformats.org/officeDocument/2006/relationships/hyperlink" Target="https://www.lcsc.com/product-detail/C19077684.html?s_z=n_switch%2520push%252012mm" TargetMode="External"/><Relationship Id="rId107" Type="http://schemas.openxmlformats.org/officeDocument/2006/relationships/hyperlink" Target="https://www.lcsc.com/product-detail/C15127.html" TargetMode="External"/><Relationship Id="rId11" Type="http://schemas.openxmlformats.org/officeDocument/2006/relationships/hyperlink" Target="https://www.lcsc.com/" TargetMode="External"/><Relationship Id="rId32" Type="http://schemas.openxmlformats.org/officeDocument/2006/relationships/hyperlink" Target="https://www.lcsc.com/product-detail/C26413.html?s_z=n_capacitor%25201uf%25200603" TargetMode="External"/><Relationship Id="rId37" Type="http://schemas.openxmlformats.org/officeDocument/2006/relationships/hyperlink" Target="https://www.lcsc.com/" TargetMode="External"/><Relationship Id="rId53" Type="http://schemas.openxmlformats.org/officeDocument/2006/relationships/hyperlink" Target="https://www.lcsc.com/" TargetMode="External"/><Relationship Id="rId58" Type="http://schemas.openxmlformats.org/officeDocument/2006/relationships/hyperlink" Target="https://www.lcsc.com/product-detail/C2907128.html?s_z=n_resistor%2520smd%25200603%252022k" TargetMode="External"/><Relationship Id="rId74" Type="http://schemas.openxmlformats.org/officeDocument/2006/relationships/hyperlink" Target="https://www.lcsc.com/product-detail/C964023.html?s_z=n_inductor%25200603%25203.9nh" TargetMode="External"/><Relationship Id="rId79" Type="http://schemas.openxmlformats.org/officeDocument/2006/relationships/hyperlink" Target="https://www.lcsc.com/" TargetMode="External"/><Relationship Id="rId102" Type="http://schemas.openxmlformats.org/officeDocument/2006/relationships/hyperlink" Target="https://www.lcsc.com/product-detail/C88755.html" TargetMode="External"/><Relationship Id="rId123" Type="http://schemas.openxmlformats.org/officeDocument/2006/relationships/printerSettings" Target="../printerSettings/printerSettings1.bin"/><Relationship Id="rId5" Type="http://schemas.openxmlformats.org/officeDocument/2006/relationships/hyperlink" Target="https://www.lcsc.com/" TargetMode="External"/><Relationship Id="rId90" Type="http://schemas.openxmlformats.org/officeDocument/2006/relationships/hyperlink" Target="https://www.lcsc.com/product-detail/C92489.html" TargetMode="External"/><Relationship Id="rId95" Type="http://schemas.openxmlformats.org/officeDocument/2006/relationships/hyperlink" Target="https://www.lcsc.com/product-detail/C428492.html" TargetMode="External"/><Relationship Id="rId22" Type="http://schemas.openxmlformats.org/officeDocument/2006/relationships/hyperlink" Target="https://www.lcsc.com/product-detail/C2892681.html?s_z=n_1n4007%2520sod123" TargetMode="External"/><Relationship Id="rId27" Type="http://schemas.openxmlformats.org/officeDocument/2006/relationships/hyperlink" Target="https://www.lcsc.com/" TargetMode="External"/><Relationship Id="rId43" Type="http://schemas.openxmlformats.org/officeDocument/2006/relationships/hyperlink" Target="https://www.lcsc.com/" TargetMode="External"/><Relationship Id="rId48" Type="http://schemas.openxmlformats.org/officeDocument/2006/relationships/hyperlink" Target="https://www.lcsc.com/product-detail/C107034.html?s_z=n_capacitor%25200603%252012pf" TargetMode="External"/><Relationship Id="rId64" Type="http://schemas.openxmlformats.org/officeDocument/2006/relationships/hyperlink" Target="https://www.lcsc.com/product-detail/C2907022.html?s_z=n_resistor%25200603%25202k" TargetMode="External"/><Relationship Id="rId69" Type="http://schemas.openxmlformats.org/officeDocument/2006/relationships/hyperlink" Target="https://www.lcsc.com/" TargetMode="External"/><Relationship Id="rId113" Type="http://schemas.openxmlformats.org/officeDocument/2006/relationships/hyperlink" Target="https://www.lcsc.com/product-detail/C2684557.html" TargetMode="External"/><Relationship Id="rId118" Type="http://schemas.openxmlformats.org/officeDocument/2006/relationships/hyperlink" Target="https://www.lcsc.com/product-detail/C25253.html" TargetMode="External"/><Relationship Id="rId80" Type="http://schemas.openxmlformats.org/officeDocument/2006/relationships/hyperlink" Target="https://www.lcsc.com/product-detail/C173290.html?s_z=n_inductor%25200603%25202.4nh" TargetMode="External"/><Relationship Id="rId85" Type="http://schemas.openxmlformats.org/officeDocument/2006/relationships/hyperlink" Target="https://www.lcsc.com/" TargetMode="External"/><Relationship Id="rId12" Type="http://schemas.openxmlformats.org/officeDocument/2006/relationships/hyperlink" Target="https://www.lcsc.com/product-detail/C347223.html?s_z=n_ams1117" TargetMode="External"/><Relationship Id="rId17" Type="http://schemas.openxmlformats.org/officeDocument/2006/relationships/hyperlink" Target="https://www.lcsc.com/" TargetMode="External"/><Relationship Id="rId33" Type="http://schemas.openxmlformats.org/officeDocument/2006/relationships/hyperlink" Target="https://www.lcsc.com/" TargetMode="External"/><Relationship Id="rId38" Type="http://schemas.openxmlformats.org/officeDocument/2006/relationships/hyperlink" Target="https://www.lcsc.com/product-detail/C1589.html?s_z=n_capacitor%252010nf%25200603" TargetMode="External"/><Relationship Id="rId59" Type="http://schemas.openxmlformats.org/officeDocument/2006/relationships/hyperlink" Target="https://www.lcsc.com/" TargetMode="External"/><Relationship Id="rId103" Type="http://schemas.openxmlformats.org/officeDocument/2006/relationships/hyperlink" Target="https://www.lcsc.com/product-detail/C2762594.html" TargetMode="External"/><Relationship Id="rId108" Type="http://schemas.openxmlformats.org/officeDocument/2006/relationships/hyperlink" Target="https://www.lcsc.com/product-detail/C6510.html" TargetMode="External"/><Relationship Id="rId54" Type="http://schemas.openxmlformats.org/officeDocument/2006/relationships/hyperlink" Target="https://www.lcsc.com/product-detail/C5375816.html?s_z=n_capacitor%25200603%25200.3pf" TargetMode="External"/><Relationship Id="rId70" Type="http://schemas.openxmlformats.org/officeDocument/2006/relationships/hyperlink" Target="https://www.lcsc.com/product-detail/C17444183.html" TargetMode="External"/><Relationship Id="rId75" Type="http://schemas.openxmlformats.org/officeDocument/2006/relationships/hyperlink" Target="https://www.lcsc.com/" TargetMode="External"/><Relationship Id="rId91" Type="http://schemas.openxmlformats.org/officeDocument/2006/relationships/hyperlink" Target="https://www.lcsc.com/" TargetMode="External"/><Relationship Id="rId96" Type="http://schemas.openxmlformats.org/officeDocument/2006/relationships/hyperlink" Target="https://www.lcsc.com/product-detail/C2682775.html" TargetMode="External"/><Relationship Id="rId1" Type="http://schemas.openxmlformats.org/officeDocument/2006/relationships/hyperlink" Target="https://www.lcsc.com/" TargetMode="External"/><Relationship Id="rId6" Type="http://schemas.openxmlformats.org/officeDocument/2006/relationships/hyperlink" Target="https://www.lcsc.com/product-detail/C8791.html?s_z=n_nRF24L01" TargetMode="External"/><Relationship Id="rId23" Type="http://schemas.openxmlformats.org/officeDocument/2006/relationships/hyperlink" Target="https://www.lcsc.com/" TargetMode="External"/><Relationship Id="rId28" Type="http://schemas.openxmlformats.org/officeDocument/2006/relationships/hyperlink" Target="https://www.lcsc.com/product-detail/C89632.html" TargetMode="External"/><Relationship Id="rId49" Type="http://schemas.openxmlformats.org/officeDocument/2006/relationships/hyperlink" Target="https://www.lcsc.com/" TargetMode="External"/><Relationship Id="rId114" Type="http://schemas.openxmlformats.org/officeDocument/2006/relationships/hyperlink" Target="https://www.lcsc.com/product-detail/C491109.html" TargetMode="External"/><Relationship Id="rId119" Type="http://schemas.openxmlformats.org/officeDocument/2006/relationships/hyperlink" Target="https://www.lcsc.com/product-detail/C2906981.html" TargetMode="External"/><Relationship Id="rId44" Type="http://schemas.openxmlformats.org/officeDocument/2006/relationships/hyperlink" Target="https://www.lcsc.com/product-detail/C1588.html?s_z=n_capacitor%25200603%25201nf" TargetMode="External"/><Relationship Id="rId60" Type="http://schemas.openxmlformats.org/officeDocument/2006/relationships/hyperlink" Target="https://www.lcsc.com/product-detail/C2907124.html?s_z=n_resistor%2520smd%25200603%252020k" TargetMode="External"/><Relationship Id="rId65" Type="http://schemas.openxmlformats.org/officeDocument/2006/relationships/hyperlink" Target="https://www.lcsc.com/" TargetMode="External"/><Relationship Id="rId81" Type="http://schemas.openxmlformats.org/officeDocument/2006/relationships/hyperlink" Target="https://www.lcsc.com/" TargetMode="External"/><Relationship Id="rId86" Type="http://schemas.openxmlformats.org/officeDocument/2006/relationships/hyperlink" Target="https://www.lcsc.com/product-detail/C614832.html" TargetMode="External"/><Relationship Id="rId4" Type="http://schemas.openxmlformats.org/officeDocument/2006/relationships/hyperlink" Target="https://www.lcsc.com/product-detail/C13738.html?s_z=n_crystal%252016mhz" TargetMode="External"/><Relationship Id="rId9" Type="http://schemas.openxmlformats.org/officeDocument/2006/relationships/hyperlink" Target="https://www.lcsc.com/" TargetMode="External"/><Relationship Id="rId13" Type="http://schemas.openxmlformats.org/officeDocument/2006/relationships/hyperlink" Target="https://www.lcsc.com/" TargetMode="External"/><Relationship Id="rId18" Type="http://schemas.openxmlformats.org/officeDocument/2006/relationships/hyperlink" Target="https://www.lcsc.com/product-detail/C42435492.html?s_z=s_Switches%257CAccessories" TargetMode="External"/><Relationship Id="rId39" Type="http://schemas.openxmlformats.org/officeDocument/2006/relationships/hyperlink" Target="https://www.lcsc.com/" TargetMode="External"/><Relationship Id="rId109" Type="http://schemas.openxmlformats.org/officeDocument/2006/relationships/hyperlink" Target="https://www.lcsc.com/product-detail/C14877.html" TargetMode="External"/><Relationship Id="rId34" Type="http://schemas.openxmlformats.org/officeDocument/2006/relationships/hyperlink" Target="https://www.lcsc.com/product-detail/C14663.html?s_z=n_capacitor%25200603" TargetMode="External"/><Relationship Id="rId50" Type="http://schemas.openxmlformats.org/officeDocument/2006/relationships/hyperlink" Target="https://www.lcsc.com/product-detail/C376772.html?s_z=n_capacitor%25200603%25201.5pf" TargetMode="External"/><Relationship Id="rId55" Type="http://schemas.openxmlformats.org/officeDocument/2006/relationships/hyperlink" Target="https://www.lcsc.com/" TargetMode="External"/><Relationship Id="rId76" Type="http://schemas.openxmlformats.org/officeDocument/2006/relationships/hyperlink" Target="https://www.lcsc.com/product-detail/C5252358.html?s_z=n_inductor%25200603%25202.7nh" TargetMode="External"/><Relationship Id="rId97" Type="http://schemas.openxmlformats.org/officeDocument/2006/relationships/hyperlink" Target="https://www.lcsc.com/product-detail/C5213671.html" TargetMode="External"/><Relationship Id="rId104" Type="http://schemas.openxmlformats.org/officeDocument/2006/relationships/hyperlink" Target="https://www.lcsc.com/product-detail/C20917.html" TargetMode="External"/><Relationship Id="rId120" Type="http://schemas.openxmlformats.org/officeDocument/2006/relationships/hyperlink" Target="https://www.lcsc.com/product-detail/C2907174.html" TargetMode="External"/><Relationship Id="rId7" Type="http://schemas.openxmlformats.org/officeDocument/2006/relationships/hyperlink" Target="https://www.lcsc.com/" TargetMode="External"/><Relationship Id="rId71" Type="http://schemas.openxmlformats.org/officeDocument/2006/relationships/hyperlink" Target="https://www.lcsc.com/" TargetMode="External"/><Relationship Id="rId92" Type="http://schemas.openxmlformats.org/officeDocument/2006/relationships/hyperlink" Target="https://www.lcsc.com/product-detail/C9642.html" TargetMode="External"/><Relationship Id="rId2" Type="http://schemas.openxmlformats.org/officeDocument/2006/relationships/hyperlink" Target="https://www.lcsc.com/product-detail/C14877.html?s_z=n_ATmega328P" TargetMode="External"/><Relationship Id="rId29" Type="http://schemas.openxmlformats.org/officeDocument/2006/relationships/hyperlink" Target="https://www.lcsc.com/" TargetMode="External"/><Relationship Id="rId24" Type="http://schemas.openxmlformats.org/officeDocument/2006/relationships/hyperlink" Target="https://www.lcsc.com/product-detail/C3151830.html?s_z=s_Passives%257CCapacitors%257CAluminum%2520Electrolytic%2520Capacitors" TargetMode="External"/><Relationship Id="rId40" Type="http://schemas.openxmlformats.org/officeDocument/2006/relationships/hyperlink" Target="https://www.lcsc.com/product-detail/C1621.html?s_z=n_capacitor%25204.7nf%25200603" TargetMode="External"/><Relationship Id="rId45" Type="http://schemas.openxmlformats.org/officeDocument/2006/relationships/hyperlink" Target="https://www.lcsc.com/" TargetMode="External"/><Relationship Id="rId66" Type="http://schemas.openxmlformats.org/officeDocument/2006/relationships/hyperlink" Target="https://www.lcsc.com/product-detail/C2907113.html?s_z=n_resistor%25200603%25201k" TargetMode="External"/><Relationship Id="rId87" Type="http://schemas.openxmlformats.org/officeDocument/2006/relationships/hyperlink" Target="https://www.lcsc.com/" TargetMode="External"/><Relationship Id="rId110" Type="http://schemas.openxmlformats.org/officeDocument/2006/relationships/hyperlink" Target="https://www.lcsc.com/product-detail/C93216.html" TargetMode="External"/><Relationship Id="rId115" Type="http://schemas.openxmlformats.org/officeDocument/2006/relationships/hyperlink" Target="https://www.lcsc.com/product-detail/C2930102.html" TargetMode="External"/><Relationship Id="rId61" Type="http://schemas.openxmlformats.org/officeDocument/2006/relationships/hyperlink" Target="https://www.lcsc.com/" TargetMode="External"/><Relationship Id="rId82" Type="http://schemas.openxmlformats.org/officeDocument/2006/relationships/hyperlink" Target="https://www.lcsc.com/product-detail/C19171390.html?s_z=n_led%2520smd%25200603" TargetMode="External"/><Relationship Id="rId19" Type="http://schemas.openxmlformats.org/officeDocument/2006/relationships/hyperlink" Target="https://www.lcsc.com/" TargetMode="External"/><Relationship Id="rId14" Type="http://schemas.openxmlformats.org/officeDocument/2006/relationships/hyperlink" Target="https://www.lcsc.com/product-detail/C49234121.html?s_z=n_b3u1000p" TargetMode="External"/><Relationship Id="rId30" Type="http://schemas.openxmlformats.org/officeDocument/2006/relationships/hyperlink" Target="https://www.lcsc.com/product-detail/C437557.html" TargetMode="External"/><Relationship Id="rId35" Type="http://schemas.openxmlformats.org/officeDocument/2006/relationships/hyperlink" Target="https://www.lcsc.com/" TargetMode="External"/><Relationship Id="rId56" Type="http://schemas.openxmlformats.org/officeDocument/2006/relationships/hyperlink" Target="https://www.lcsc.com/product-detail/C6949223.html?s_z=n_resistor%2520smd%25201m%25200603" TargetMode="External"/><Relationship Id="rId77" Type="http://schemas.openxmlformats.org/officeDocument/2006/relationships/hyperlink" Target="https://www.lcsc.com/" TargetMode="External"/><Relationship Id="rId100" Type="http://schemas.openxmlformats.org/officeDocument/2006/relationships/hyperlink" Target="https://www.lcsc.com/product-detail/C88732.html" TargetMode="External"/><Relationship Id="rId105" Type="http://schemas.openxmlformats.org/officeDocument/2006/relationships/hyperlink" Target="https://www.lcsc.com/product-detail/C7503194.html" TargetMode="External"/><Relationship Id="rId8" Type="http://schemas.openxmlformats.org/officeDocument/2006/relationships/hyperlink" Target="https://www.lcsc.com/product-detail/C19213.html?s_z=n_RFX2401C" TargetMode="External"/><Relationship Id="rId51" Type="http://schemas.openxmlformats.org/officeDocument/2006/relationships/hyperlink" Target="https://www.lcsc.com/" TargetMode="External"/><Relationship Id="rId72" Type="http://schemas.openxmlformats.org/officeDocument/2006/relationships/hyperlink" Target="https://www.lcsc.com/product-detail/C412032.html?s_z=n_shielded%2520inductor%2520smd%25200603%25208.2nh" TargetMode="External"/><Relationship Id="rId93" Type="http://schemas.openxmlformats.org/officeDocument/2006/relationships/hyperlink" Target="https://www.lcsc.com/" TargetMode="External"/><Relationship Id="rId98" Type="http://schemas.openxmlformats.org/officeDocument/2006/relationships/hyperlink" Target="https://www.lcsc.com/product-detail/C3014012.html" TargetMode="External"/><Relationship Id="rId121" Type="http://schemas.openxmlformats.org/officeDocument/2006/relationships/hyperlink" Target="https://www.lcsc.com/product-detail/C2907004.html" TargetMode="External"/><Relationship Id="rId3" Type="http://schemas.openxmlformats.org/officeDocument/2006/relationships/hyperlink" Target="https://www.lcsc.com/" TargetMode="External"/><Relationship Id="rId25" Type="http://schemas.openxmlformats.org/officeDocument/2006/relationships/hyperlink" Target="https://www.lcsc.com/" TargetMode="External"/><Relationship Id="rId46" Type="http://schemas.openxmlformats.org/officeDocument/2006/relationships/hyperlink" Target="https://www.lcsc.com/product-detail/C107081.html?s_z=n_capacitor%25200603%2520220pf" TargetMode="External"/><Relationship Id="rId67" Type="http://schemas.openxmlformats.org/officeDocument/2006/relationships/hyperlink" Target="https://www.lcsc.com/" TargetMode="External"/><Relationship Id="rId116" Type="http://schemas.openxmlformats.org/officeDocument/2006/relationships/hyperlink" Target="https://www.lcsc.com/product-detail/C2933239.html" TargetMode="External"/><Relationship Id="rId20" Type="http://schemas.openxmlformats.org/officeDocument/2006/relationships/hyperlink" Target="https://www.lcsc.com/product-detail/C49023767.html?s_z=n_spdt" TargetMode="External"/><Relationship Id="rId41" Type="http://schemas.openxmlformats.org/officeDocument/2006/relationships/hyperlink" Target="https://www.lcsc.com/" TargetMode="External"/><Relationship Id="rId62" Type="http://schemas.openxmlformats.org/officeDocument/2006/relationships/hyperlink" Target="https://www.lcsc.com/product-detail/C2906982.html?s_z=n_resistor%25200603%252010k" TargetMode="External"/><Relationship Id="rId83" Type="http://schemas.openxmlformats.org/officeDocument/2006/relationships/hyperlink" Target="https://www.lcsc.com/" TargetMode="External"/><Relationship Id="rId88" Type="http://schemas.openxmlformats.org/officeDocument/2006/relationships/hyperlink" Target="https://www.lcsc.com/product-detail/C7661.html" TargetMode="External"/><Relationship Id="rId111" Type="http://schemas.openxmlformats.org/officeDocument/2006/relationships/hyperlink" Target="https://www.lcsc.com/product-detail/C96446.html" TargetMode="External"/><Relationship Id="rId15" Type="http://schemas.openxmlformats.org/officeDocument/2006/relationships/hyperlink" Target="https://www.lcsc.com/" TargetMode="External"/><Relationship Id="rId36" Type="http://schemas.openxmlformats.org/officeDocument/2006/relationships/hyperlink" Target="https://www.lcsc.com/product-detail/C599735.html?s_z=n_capacitor%252033nf%25200603" TargetMode="External"/><Relationship Id="rId57" Type="http://schemas.openxmlformats.org/officeDocument/2006/relationships/hyperlink" Target="https://www.lcsc.com/" TargetMode="External"/><Relationship Id="rId106" Type="http://schemas.openxmlformats.org/officeDocument/2006/relationships/hyperlink" Target="https://www.lcsc.com/product-detail/C5156722.html" TargetMode="External"/><Relationship Id="rId10" Type="http://schemas.openxmlformats.org/officeDocument/2006/relationships/hyperlink" Target="https://www.lcsc.com/product-detail/C347222.html?s_z=n_ams1117" TargetMode="External"/><Relationship Id="rId31" Type="http://schemas.openxmlformats.org/officeDocument/2006/relationships/hyperlink" Target="https://www.lcsc.com/" TargetMode="External"/><Relationship Id="rId52" Type="http://schemas.openxmlformats.org/officeDocument/2006/relationships/hyperlink" Target="https://www.lcsc.com/product-detail/C5137611.html?s_z=n_capacitor%2520smd%25200603%25201pf" TargetMode="External"/><Relationship Id="rId73" Type="http://schemas.openxmlformats.org/officeDocument/2006/relationships/hyperlink" Target="https://www.lcsc.com/" TargetMode="External"/><Relationship Id="rId78" Type="http://schemas.openxmlformats.org/officeDocument/2006/relationships/hyperlink" Target="https://www.lcsc.com/product-detail/C395082.html?s_z=n_inductor%25200603%25202.4nh" TargetMode="External"/><Relationship Id="rId94" Type="http://schemas.openxmlformats.org/officeDocument/2006/relationships/hyperlink" Target="https://www.lcsc.com/product-detail/C5351469.html" TargetMode="External"/><Relationship Id="rId99" Type="http://schemas.openxmlformats.org/officeDocument/2006/relationships/hyperlink" Target="https://www.lcsc.com/product-detail/C311983.html" TargetMode="External"/><Relationship Id="rId101" Type="http://schemas.openxmlformats.org/officeDocument/2006/relationships/hyperlink" Target="https://www.lcsc.com/product-detail/C88726.html" TargetMode="External"/><Relationship Id="rId122" Type="http://schemas.openxmlformats.org/officeDocument/2006/relationships/hyperlink" Target="https://www.lcsc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user.fr/ProductDetail/Amphenol-SGX-Sensortech/MICS-6814?qs=YCa/AAYMW01pNK%252BnW3Jo7g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/>
  </sheetViews>
  <sheetFormatPr defaultColWidth="12.6640625" defaultRowHeight="15" customHeight="1" x14ac:dyDescent="0.3"/>
  <cols>
    <col min="1" max="1" width="9.33203125" style="1" customWidth="1"/>
    <col min="2" max="2" width="32.6640625" style="1" customWidth="1"/>
    <col min="3" max="3" width="29.5" style="1" customWidth="1"/>
    <col min="4" max="4" width="46.6640625" style="1" customWidth="1"/>
    <col min="5" max="5" width="21.33203125" style="1" customWidth="1"/>
    <col min="6" max="6" width="40.6640625" style="1" customWidth="1"/>
    <col min="7" max="7" width="25.1640625" style="1" customWidth="1"/>
    <col min="8" max="27" width="12.6640625" style="1" customWidth="1"/>
    <col min="28" max="16384" width="12.6640625" style="1"/>
  </cols>
  <sheetData>
    <row r="1" spans="1:26" ht="13.5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35">
      <c r="A2" s="2"/>
      <c r="B2" s="2"/>
      <c r="C2" s="3" t="s">
        <v>0</v>
      </c>
      <c r="D2" s="4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35">
      <c r="A4" s="2"/>
      <c r="B4" s="2"/>
      <c r="C4" s="3" t="s">
        <v>2</v>
      </c>
      <c r="D4" s="3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35">
      <c r="A5" s="2"/>
      <c r="B5" s="2"/>
      <c r="C5" s="3" t="s">
        <v>4</v>
      </c>
      <c r="D5" s="3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1">
      <c r="A9" s="2"/>
      <c r="B9" s="2"/>
      <c r="C9" s="5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35">
      <c r="A10" s="2"/>
      <c r="B10" s="2"/>
      <c r="C10" s="2"/>
      <c r="D10" s="2"/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3">
      <c r="A11" s="7"/>
      <c r="B11" s="7"/>
      <c r="C11" s="7"/>
      <c r="D11" s="7"/>
      <c r="E11" s="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35">
      <c r="A12" s="8"/>
      <c r="B12" s="9" t="s">
        <v>7</v>
      </c>
      <c r="C12" s="10" t="s">
        <v>8</v>
      </c>
      <c r="D12" s="11" t="s">
        <v>9</v>
      </c>
      <c r="E12" s="12" t="s">
        <v>10</v>
      </c>
      <c r="F12" s="1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35">
      <c r="A13" s="14">
        <v>1</v>
      </c>
      <c r="B13" s="15" t="s">
        <v>11</v>
      </c>
      <c r="C13" s="16">
        <f>AliExpress!F10</f>
        <v>21.380000000000003</v>
      </c>
      <c r="D13" s="17" t="s">
        <v>12</v>
      </c>
      <c r="E13" s="18"/>
      <c r="F13" s="1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 x14ac:dyDescent="0.35">
      <c r="A14" s="19">
        <v>2</v>
      </c>
      <c r="B14" s="20" t="s">
        <v>13</v>
      </c>
      <c r="C14" s="21">
        <f>LCSC!F79</f>
        <v>59.005800000000001</v>
      </c>
      <c r="D14" s="22" t="s">
        <v>12</v>
      </c>
      <c r="E14" s="23"/>
      <c r="F14" s="1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35">
      <c r="A15" s="19">
        <v>3</v>
      </c>
      <c r="B15" s="24" t="s">
        <v>14</v>
      </c>
      <c r="C15" s="25">
        <f>Mouser!F7</f>
        <v>7.12</v>
      </c>
      <c r="D15" s="26" t="s">
        <v>12</v>
      </c>
      <c r="E15" s="23"/>
      <c r="F15" s="1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35">
      <c r="A16" s="19">
        <v>4</v>
      </c>
      <c r="B16" s="27"/>
      <c r="C16" s="21"/>
      <c r="D16" s="28"/>
      <c r="E16" s="29"/>
      <c r="F16" s="1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 x14ac:dyDescent="0.35">
      <c r="A17" s="19">
        <v>5</v>
      </c>
      <c r="B17" s="30"/>
      <c r="C17" s="25"/>
      <c r="D17" s="31"/>
      <c r="E17" s="29"/>
      <c r="F17" s="32"/>
      <c r="G17" s="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 x14ac:dyDescent="0.35">
      <c r="A18" s="19">
        <v>6</v>
      </c>
      <c r="B18" s="33"/>
      <c r="C18" s="21"/>
      <c r="D18" s="28"/>
      <c r="E18" s="29"/>
      <c r="F18" s="1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35">
      <c r="A19" s="19">
        <v>7</v>
      </c>
      <c r="B19" s="34"/>
      <c r="C19" s="35"/>
      <c r="D19" s="31"/>
      <c r="E19" s="29"/>
      <c r="F19" s="1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35">
      <c r="A20" s="19">
        <v>8</v>
      </c>
      <c r="B20" s="33"/>
      <c r="C20" s="36"/>
      <c r="D20" s="28"/>
      <c r="E20" s="29"/>
      <c r="F20" s="13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19">
        <v>9</v>
      </c>
      <c r="B21" s="34"/>
      <c r="C21" s="37"/>
      <c r="D21" s="38"/>
      <c r="E21" s="29"/>
      <c r="F21" s="1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19">
        <v>10</v>
      </c>
      <c r="B22" s="33"/>
      <c r="C22" s="39"/>
      <c r="D22" s="40"/>
      <c r="E22" s="29"/>
      <c r="F22" s="1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19">
        <v>11</v>
      </c>
      <c r="B23" s="34"/>
      <c r="C23" s="37"/>
      <c r="D23" s="38"/>
      <c r="E23" s="29"/>
      <c r="F23" s="1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19">
        <v>12</v>
      </c>
      <c r="B24" s="33"/>
      <c r="C24" s="39"/>
      <c r="D24" s="40"/>
      <c r="E24" s="29"/>
      <c r="F24" s="1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19">
        <v>13</v>
      </c>
      <c r="B25" s="34"/>
      <c r="C25" s="37"/>
      <c r="D25" s="38"/>
      <c r="E25" s="29"/>
      <c r="F25" s="1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19">
        <v>14</v>
      </c>
      <c r="B26" s="33"/>
      <c r="C26" s="39"/>
      <c r="D26" s="40"/>
      <c r="E26" s="29"/>
      <c r="F26" s="1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19">
        <v>15</v>
      </c>
      <c r="B27" s="34"/>
      <c r="C27" s="37"/>
      <c r="D27" s="38"/>
      <c r="E27" s="29"/>
      <c r="F27" s="1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19">
        <v>16</v>
      </c>
      <c r="B28" s="33"/>
      <c r="C28" s="39"/>
      <c r="D28" s="40"/>
      <c r="E28" s="29"/>
      <c r="F28" s="1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19">
        <v>17</v>
      </c>
      <c r="B29" s="34"/>
      <c r="C29" s="37"/>
      <c r="D29" s="38"/>
      <c r="E29" s="29"/>
      <c r="F29" s="1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19">
        <v>18</v>
      </c>
      <c r="B30" s="33"/>
      <c r="C30" s="39"/>
      <c r="D30" s="40"/>
      <c r="E30" s="29"/>
      <c r="F30" s="1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19">
        <v>19</v>
      </c>
      <c r="B31" s="34"/>
      <c r="C31" s="37"/>
      <c r="D31" s="38"/>
      <c r="E31" s="29"/>
      <c r="F31" s="1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41">
        <v>20</v>
      </c>
      <c r="B32" s="42"/>
      <c r="C32" s="43"/>
      <c r="D32" s="44"/>
      <c r="E32" s="45"/>
      <c r="F32" s="1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8"/>
      <c r="B33" s="46"/>
      <c r="C33" s="47">
        <f>SUM(C13:C32)</f>
        <v>87.505800000000008</v>
      </c>
      <c r="D33" s="48"/>
      <c r="E33" s="8"/>
      <c r="F33" s="1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49"/>
      <c r="B34" s="49"/>
      <c r="C34" s="49"/>
      <c r="D34" s="49"/>
      <c r="E34" s="4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C13:C20 C33">
    <cfRule type="cellIs" dxfId="3" priority="1" stopIfTrue="1" operator="lessThan">
      <formula>0</formula>
    </cfRule>
  </conditionalFormatting>
  <pageMargins left="0.7" right="0.7" top="0.75" bottom="0.75" header="0.51181100000000002" footer="0"/>
  <pageSetup orientation="portrait"/>
  <headerFooter>
    <oddFooter>&amp;C&amp;"Helvetica Neue,Regular"&amp;12&amp;K000000&amp;P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2"/>
  <sheetViews>
    <sheetView showGridLines="0" workbookViewId="0"/>
  </sheetViews>
  <sheetFormatPr defaultColWidth="12.6640625" defaultRowHeight="15" customHeight="1" x14ac:dyDescent="0.3"/>
  <cols>
    <col min="1" max="1" width="60.83203125" style="1" customWidth="1"/>
    <col min="2" max="2" width="16.33203125" style="1" customWidth="1"/>
    <col min="3" max="3" width="39.33203125" style="1" customWidth="1"/>
    <col min="4" max="4" width="17.83203125" style="1" customWidth="1"/>
    <col min="5" max="5" width="10.5" style="1" customWidth="1"/>
    <col min="6" max="6" width="15.5" style="1" customWidth="1"/>
    <col min="7" max="26" width="10.5" style="1" customWidth="1"/>
    <col min="27" max="27" width="12.6640625" style="1" customWidth="1"/>
    <col min="28" max="16384" width="12.6640625" style="1"/>
  </cols>
  <sheetData>
    <row r="1" spans="1:26" ht="13.5" customHeight="1" x14ac:dyDescent="0.35">
      <c r="A1" s="50" t="s">
        <v>15</v>
      </c>
      <c r="B1" s="51" t="s">
        <v>7</v>
      </c>
      <c r="C1" s="51" t="s">
        <v>16</v>
      </c>
      <c r="D1" s="52" t="s">
        <v>17</v>
      </c>
      <c r="E1" s="52" t="s">
        <v>18</v>
      </c>
      <c r="F1" s="52" t="s">
        <v>19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649999999999999" customHeight="1" x14ac:dyDescent="0.35">
      <c r="A2" s="52" t="s">
        <v>20</v>
      </c>
      <c r="B2" s="53" t="s">
        <v>21</v>
      </c>
      <c r="C2" s="53" t="s">
        <v>22</v>
      </c>
      <c r="D2" s="54">
        <v>3.21</v>
      </c>
      <c r="E2" s="54">
        <v>1</v>
      </c>
      <c r="F2" s="55">
        <f t="shared" ref="F2:F8" si="0">D2*E2</f>
        <v>3.21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649999999999999" customHeight="1" x14ac:dyDescent="0.35">
      <c r="A3" s="52" t="s">
        <v>23</v>
      </c>
      <c r="B3" s="56" t="str">
        <f>B2</f>
        <v>AliExpress</v>
      </c>
      <c r="C3" s="53" t="s">
        <v>24</v>
      </c>
      <c r="D3" s="54">
        <v>0.44</v>
      </c>
      <c r="E3" s="54">
        <v>2</v>
      </c>
      <c r="F3" s="55">
        <f t="shared" si="0"/>
        <v>0.88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649999999999999" customHeight="1" x14ac:dyDescent="0.35">
      <c r="A4" s="52" t="s">
        <v>25</v>
      </c>
      <c r="B4" s="56" t="str">
        <f>B3</f>
        <v>AliExpress</v>
      </c>
      <c r="C4" s="53" t="s">
        <v>26</v>
      </c>
      <c r="D4" s="54">
        <v>9.19</v>
      </c>
      <c r="E4" s="54">
        <v>1</v>
      </c>
      <c r="F4" s="55">
        <f t="shared" si="0"/>
        <v>9.19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649999999999999" customHeight="1" x14ac:dyDescent="0.35">
      <c r="A5" s="52" t="s">
        <v>27</v>
      </c>
      <c r="B5" s="56" t="str">
        <f>B4</f>
        <v>AliExpress</v>
      </c>
      <c r="C5" s="53" t="s">
        <v>28</v>
      </c>
      <c r="D5" s="54">
        <v>2.4700000000000002</v>
      </c>
      <c r="E5" s="54">
        <v>1</v>
      </c>
      <c r="F5" s="55">
        <f t="shared" si="0"/>
        <v>2.4700000000000002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649999999999999" customHeight="1" x14ac:dyDescent="0.35">
      <c r="A6" s="52" t="s">
        <v>29</v>
      </c>
      <c r="B6" s="56" t="str">
        <f>B5</f>
        <v>AliExpress</v>
      </c>
      <c r="C6" s="53" t="s">
        <v>30</v>
      </c>
      <c r="D6" s="54">
        <v>3.49</v>
      </c>
      <c r="E6" s="54">
        <v>1</v>
      </c>
      <c r="F6" s="55">
        <f t="shared" si="0"/>
        <v>3.49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649999999999999" customHeight="1" x14ac:dyDescent="0.35">
      <c r="A7" s="54"/>
      <c r="B7" s="57"/>
      <c r="C7" s="57"/>
      <c r="D7" s="54"/>
      <c r="E7" s="54"/>
      <c r="F7" s="55">
        <f t="shared" si="0"/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35">
      <c r="A8" s="52" t="s">
        <v>31</v>
      </c>
      <c r="B8" s="54"/>
      <c r="C8" s="54"/>
      <c r="D8" s="54">
        <v>2.14</v>
      </c>
      <c r="E8" s="54">
        <v>1</v>
      </c>
      <c r="F8" s="55">
        <f t="shared" si="0"/>
        <v>2.14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649999999999999" customHeight="1" x14ac:dyDescent="0.35">
      <c r="A9" s="54"/>
      <c r="B9" s="54"/>
      <c r="C9" s="54"/>
      <c r="D9" s="54"/>
      <c r="E9" s="54"/>
      <c r="F9" s="58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35">
      <c r="A10" s="54"/>
      <c r="B10" s="54"/>
      <c r="C10" s="54"/>
      <c r="D10" s="54"/>
      <c r="E10" s="59" t="s">
        <v>32</v>
      </c>
      <c r="F10" s="60">
        <f>SUM(F2:F8)</f>
        <v>21.380000000000003</v>
      </c>
      <c r="G10" s="6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54"/>
      <c r="B11" s="54"/>
      <c r="C11" s="54"/>
      <c r="D11" s="54"/>
      <c r="E11" s="54"/>
      <c r="F11" s="6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649999999999999" customHeight="1" x14ac:dyDescent="0.35">
      <c r="A12" s="54"/>
      <c r="B12" s="54"/>
      <c r="C12" s="54"/>
      <c r="D12" s="54"/>
      <c r="E12" s="54"/>
      <c r="F12" s="5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649999999999999" customHeight="1" x14ac:dyDescent="0.35">
      <c r="A13" s="54"/>
      <c r="B13" s="54"/>
      <c r="C13" s="54"/>
      <c r="D13" s="54"/>
      <c r="E13" s="54"/>
      <c r="F13" s="5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5">
      <c r="A14" s="54"/>
      <c r="B14" s="54"/>
      <c r="C14" s="54"/>
      <c r="D14" s="54"/>
      <c r="E14" s="54"/>
      <c r="F14" s="5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649999999999999" customHeight="1" x14ac:dyDescent="0.35">
      <c r="A15" s="54"/>
      <c r="B15" s="54"/>
      <c r="C15" s="54"/>
      <c r="D15" s="54"/>
      <c r="E15" s="63"/>
      <c r="F15" s="5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649999999999999" customHeight="1" x14ac:dyDescent="0.35">
      <c r="A16" s="54"/>
      <c r="B16" s="54"/>
      <c r="C16" s="54"/>
      <c r="D16" s="54"/>
      <c r="E16" s="54"/>
      <c r="F16" s="5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649999999999999" customHeight="1" x14ac:dyDescent="0.35">
      <c r="A17" s="54"/>
      <c r="B17" s="54"/>
      <c r="C17" s="54"/>
      <c r="D17" s="54"/>
      <c r="E17" s="54"/>
      <c r="F17" s="5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649999999999999" customHeight="1" x14ac:dyDescent="0.35">
      <c r="A18" s="64"/>
      <c r="B18" s="64"/>
      <c r="C18" s="65"/>
      <c r="D18" s="64"/>
      <c r="E18" s="64"/>
      <c r="F18" s="58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16.649999999999999" customHeight="1" x14ac:dyDescent="0.35">
      <c r="A19" s="67"/>
      <c r="B19" s="68"/>
      <c r="C19" s="68"/>
      <c r="D19" s="68"/>
      <c r="E19" s="68"/>
      <c r="F19" s="60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69"/>
    </row>
    <row r="20" spans="1:26" ht="16.649999999999999" customHeight="1" x14ac:dyDescent="0.35">
      <c r="A20" s="67"/>
      <c r="B20" s="68"/>
      <c r="C20" s="68"/>
      <c r="D20" s="68"/>
      <c r="E20" s="68"/>
      <c r="F20" s="60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69"/>
    </row>
    <row r="21" spans="1:26" ht="16.649999999999999" customHeight="1" x14ac:dyDescent="0.35">
      <c r="A21" s="67"/>
      <c r="B21" s="68"/>
      <c r="C21" s="68"/>
      <c r="D21" s="68"/>
      <c r="E21" s="68"/>
      <c r="F21" s="60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69"/>
    </row>
    <row r="22" spans="1:26" ht="14.25" customHeight="1" x14ac:dyDescent="0.35">
      <c r="A22" s="67"/>
      <c r="B22" s="68"/>
      <c r="C22" s="68"/>
      <c r="D22" s="68"/>
      <c r="E22" s="68"/>
      <c r="F22" s="60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69"/>
    </row>
    <row r="23" spans="1:26" ht="16.649999999999999" customHeight="1" x14ac:dyDescent="0.35">
      <c r="A23" s="67"/>
      <c r="B23" s="68"/>
      <c r="C23" s="68"/>
      <c r="D23" s="68"/>
      <c r="E23" s="68"/>
      <c r="F23" s="60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69"/>
    </row>
    <row r="24" spans="1:26" ht="16.649999999999999" customHeight="1" x14ac:dyDescent="0.35">
      <c r="A24" s="67"/>
      <c r="B24" s="68"/>
      <c r="C24" s="68"/>
      <c r="D24" s="68"/>
      <c r="E24" s="68"/>
      <c r="F24" s="60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69"/>
    </row>
    <row r="25" spans="1:26" ht="16.649999999999999" customHeight="1" x14ac:dyDescent="0.35">
      <c r="A25" s="67"/>
      <c r="B25" s="68"/>
      <c r="C25" s="68"/>
      <c r="D25" s="68"/>
      <c r="E25" s="68"/>
      <c r="F25" s="60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69"/>
    </row>
    <row r="26" spans="1:26" ht="16.649999999999999" customHeight="1" x14ac:dyDescent="0.35">
      <c r="A26" s="67"/>
      <c r="B26" s="68"/>
      <c r="C26" s="68"/>
      <c r="D26" s="68"/>
      <c r="E26" s="68"/>
      <c r="F26" s="60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69"/>
    </row>
    <row r="27" spans="1:26" ht="16.649999999999999" customHeight="1" x14ac:dyDescent="0.35">
      <c r="A27" s="67"/>
      <c r="B27" s="68"/>
      <c r="C27" s="68"/>
      <c r="D27" s="68"/>
      <c r="E27" s="68"/>
      <c r="F27" s="60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69"/>
    </row>
    <row r="28" spans="1:26" ht="16.649999999999999" customHeight="1" x14ac:dyDescent="0.35">
      <c r="A28" s="67"/>
      <c r="B28" s="68"/>
      <c r="C28" s="68"/>
      <c r="D28" s="68"/>
      <c r="E28" s="68"/>
      <c r="F28" s="60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69"/>
    </row>
    <row r="29" spans="1:26" ht="16.649999999999999" customHeight="1" x14ac:dyDescent="0.35">
      <c r="A29" s="67"/>
      <c r="B29" s="68"/>
      <c r="C29" s="68"/>
      <c r="D29" s="68"/>
      <c r="E29" s="68"/>
      <c r="F29" s="60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69"/>
    </row>
    <row r="30" spans="1:26" ht="16.649999999999999" customHeight="1" x14ac:dyDescent="0.35">
      <c r="A30" s="67"/>
      <c r="B30" s="68"/>
      <c r="C30" s="68"/>
      <c r="D30" s="68"/>
      <c r="E30" s="68"/>
      <c r="F30" s="60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69"/>
    </row>
    <row r="31" spans="1:26" ht="16.649999999999999" customHeight="1" x14ac:dyDescent="0.35">
      <c r="A31" s="67"/>
      <c r="B31" s="68"/>
      <c r="C31" s="68"/>
      <c r="D31" s="68"/>
      <c r="E31" s="68"/>
      <c r="F31" s="60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69"/>
    </row>
    <row r="32" spans="1:26" ht="16.649999999999999" customHeight="1" x14ac:dyDescent="0.35">
      <c r="A32" s="67"/>
      <c r="B32" s="68"/>
      <c r="C32" s="68"/>
      <c r="D32" s="68"/>
      <c r="E32" s="68"/>
      <c r="F32" s="60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69"/>
    </row>
    <row r="33" spans="1:26" ht="16.649999999999999" customHeight="1" x14ac:dyDescent="0.35">
      <c r="A33" s="67"/>
      <c r="B33" s="68"/>
      <c r="C33" s="68"/>
      <c r="D33" s="68"/>
      <c r="E33" s="68"/>
      <c r="F33" s="60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69"/>
    </row>
    <row r="34" spans="1:26" ht="16.649999999999999" customHeight="1" x14ac:dyDescent="0.35">
      <c r="A34" s="67"/>
      <c r="B34" s="68"/>
      <c r="C34" s="68"/>
      <c r="D34" s="68"/>
      <c r="E34" s="68"/>
      <c r="F34" s="60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69"/>
    </row>
    <row r="35" spans="1:26" ht="16.649999999999999" customHeight="1" x14ac:dyDescent="0.35">
      <c r="A35" s="67"/>
      <c r="B35" s="68"/>
      <c r="C35" s="68"/>
      <c r="D35" s="68"/>
      <c r="E35" s="68"/>
      <c r="F35" s="60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69"/>
    </row>
    <row r="36" spans="1:26" ht="14.25" customHeight="1" x14ac:dyDescent="0.35">
      <c r="A36" s="67"/>
      <c r="B36" s="68"/>
      <c r="C36" s="68"/>
      <c r="D36" s="70"/>
      <c r="E36" s="68"/>
      <c r="F36" s="60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69"/>
    </row>
    <row r="37" spans="1:26" ht="16.649999999999999" customHeight="1" x14ac:dyDescent="0.35">
      <c r="A37" s="67"/>
      <c r="B37" s="68"/>
      <c r="C37" s="68"/>
      <c r="D37" s="68"/>
      <c r="E37" s="68"/>
      <c r="F37" s="60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69"/>
    </row>
    <row r="38" spans="1:26" ht="13.5" customHeight="1" x14ac:dyDescent="0.35">
      <c r="A38" s="67"/>
      <c r="B38" s="68"/>
      <c r="C38" s="68"/>
      <c r="D38" s="68"/>
      <c r="E38" s="68"/>
      <c r="F38" s="60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69"/>
    </row>
    <row r="39" spans="1:26" ht="16.649999999999999" customHeight="1" x14ac:dyDescent="0.35">
      <c r="A39" s="71"/>
      <c r="B39" s="71"/>
      <c r="C39" s="71"/>
      <c r="D39" s="71"/>
      <c r="E39" s="71"/>
      <c r="F39" s="6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spans="1:26" ht="16.649999999999999" customHeight="1" x14ac:dyDescent="0.35">
      <c r="A40" s="54"/>
      <c r="B40" s="54"/>
      <c r="C40" s="54"/>
      <c r="D40" s="54"/>
      <c r="E40" s="54"/>
      <c r="F40" s="5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54"/>
      <c r="B41" s="54"/>
      <c r="C41" s="54"/>
      <c r="D41" s="54"/>
      <c r="E41" s="54"/>
      <c r="F41" s="55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649999999999999" customHeight="1" x14ac:dyDescent="0.35">
      <c r="A42" s="54"/>
      <c r="B42" s="54"/>
      <c r="C42" s="54"/>
      <c r="D42" s="54"/>
      <c r="E42" s="54"/>
      <c r="F42" s="55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649999999999999" customHeight="1" x14ac:dyDescent="0.35">
      <c r="A43" s="54"/>
      <c r="B43" s="54"/>
      <c r="C43" s="54"/>
      <c r="D43" s="54"/>
      <c r="E43" s="54"/>
      <c r="F43" s="5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649999999999999" customHeight="1" x14ac:dyDescent="0.35">
      <c r="A44" s="54"/>
      <c r="B44" s="54"/>
      <c r="C44" s="54"/>
      <c r="D44" s="54"/>
      <c r="E44" s="54"/>
      <c r="F44" s="55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649999999999999" customHeight="1" x14ac:dyDescent="0.35">
      <c r="A45" s="54"/>
      <c r="B45" s="54"/>
      <c r="C45" s="54"/>
      <c r="D45" s="54"/>
      <c r="E45" s="54"/>
      <c r="F45" s="5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649999999999999" customHeight="1" x14ac:dyDescent="0.35">
      <c r="A46" s="54"/>
      <c r="B46" s="54"/>
      <c r="C46" s="54"/>
      <c r="D46" s="54"/>
      <c r="E46" s="54"/>
      <c r="F46" s="55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649999999999999" customHeight="1" x14ac:dyDescent="0.35">
      <c r="A47" s="54"/>
      <c r="B47" s="54"/>
      <c r="C47" s="54"/>
      <c r="D47" s="54"/>
      <c r="E47" s="54"/>
      <c r="F47" s="5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649999999999999" customHeight="1" x14ac:dyDescent="0.35">
      <c r="A48" s="54"/>
      <c r="B48" s="54"/>
      <c r="C48" s="54"/>
      <c r="D48" s="54"/>
      <c r="E48" s="54"/>
      <c r="F48" s="55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649999999999999" customHeight="1" x14ac:dyDescent="0.35">
      <c r="A49" s="54"/>
      <c r="B49" s="54"/>
      <c r="C49" s="54"/>
      <c r="D49" s="54"/>
      <c r="E49" s="54"/>
      <c r="F49" s="55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649999999999999" customHeight="1" x14ac:dyDescent="0.35">
      <c r="A50" s="54"/>
      <c r="B50" s="54"/>
      <c r="C50" s="54"/>
      <c r="D50" s="54"/>
      <c r="E50" s="54"/>
      <c r="F50" s="55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649999999999999" customHeight="1" x14ac:dyDescent="0.35">
      <c r="A51" s="54"/>
      <c r="B51" s="54"/>
      <c r="C51" s="54"/>
      <c r="D51" s="54"/>
      <c r="E51" s="54"/>
      <c r="F51" s="55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649999999999999" customHeight="1" x14ac:dyDescent="0.35">
      <c r="A52" s="54"/>
      <c r="B52" s="54"/>
      <c r="C52" s="54"/>
      <c r="D52" s="54"/>
      <c r="E52" s="54"/>
      <c r="F52" s="55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649999999999999" customHeight="1" x14ac:dyDescent="0.35">
      <c r="A53" s="54"/>
      <c r="B53" s="54"/>
      <c r="C53" s="54"/>
      <c r="D53" s="54"/>
      <c r="E53" s="54"/>
      <c r="F53" s="55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649999999999999" customHeight="1" x14ac:dyDescent="0.35">
      <c r="A54" s="54"/>
      <c r="B54" s="54"/>
      <c r="C54" s="54"/>
      <c r="D54" s="54"/>
      <c r="E54" s="54"/>
      <c r="F54" s="55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649999999999999" customHeight="1" x14ac:dyDescent="0.35">
      <c r="A55" s="54"/>
      <c r="B55" s="54"/>
      <c r="C55" s="54"/>
      <c r="D55" s="54"/>
      <c r="E55" s="54"/>
      <c r="F55" s="7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649999999999999" customHeight="1" x14ac:dyDescent="0.35">
      <c r="A56" s="54"/>
      <c r="B56" s="54"/>
      <c r="C56" s="54"/>
      <c r="D56" s="54"/>
      <c r="E56" s="54"/>
      <c r="F56" s="7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649999999999999" customHeight="1" x14ac:dyDescent="0.35">
      <c r="A57" s="54"/>
      <c r="B57" s="54"/>
      <c r="C57" s="54"/>
      <c r="D57" s="54"/>
      <c r="E57" s="54"/>
      <c r="F57" s="7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649999999999999" customHeight="1" x14ac:dyDescent="0.35">
      <c r="A58" s="54"/>
      <c r="B58" s="54"/>
      <c r="C58" s="54"/>
      <c r="D58" s="54"/>
      <c r="E58" s="54"/>
      <c r="F58" s="7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649999999999999" customHeight="1" x14ac:dyDescent="0.35">
      <c r="A59" s="54"/>
      <c r="B59" s="54"/>
      <c r="C59" s="54"/>
      <c r="D59" s="54"/>
      <c r="E59" s="54"/>
      <c r="F59" s="7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649999999999999" customHeight="1" x14ac:dyDescent="0.35">
      <c r="A60" s="54"/>
      <c r="B60" s="54"/>
      <c r="C60" s="54"/>
      <c r="D60" s="54"/>
      <c r="E60" s="54"/>
      <c r="F60" s="7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649999999999999" customHeight="1" x14ac:dyDescent="0.35">
      <c r="A61" s="54"/>
      <c r="B61" s="54"/>
      <c r="C61" s="54"/>
      <c r="D61" s="54"/>
      <c r="E61" s="54"/>
      <c r="F61" s="7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649999999999999" customHeight="1" x14ac:dyDescent="0.35">
      <c r="A62" s="54"/>
      <c r="B62" s="54"/>
      <c r="C62" s="54"/>
      <c r="D62" s="54"/>
      <c r="E62" s="54"/>
      <c r="F62" s="7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649999999999999" customHeight="1" x14ac:dyDescent="0.35">
      <c r="A63" s="54"/>
      <c r="B63" s="54"/>
      <c r="C63" s="54"/>
      <c r="D63" s="54"/>
      <c r="E63" s="54"/>
      <c r="F63" s="7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649999999999999" customHeight="1" x14ac:dyDescent="0.35">
      <c r="A64" s="54"/>
      <c r="B64" s="54"/>
      <c r="C64" s="54"/>
      <c r="D64" s="54"/>
      <c r="E64" s="54"/>
      <c r="F64" s="7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649999999999999" customHeight="1" x14ac:dyDescent="0.35">
      <c r="A65" s="54"/>
      <c r="B65" s="54"/>
      <c r="C65" s="2"/>
      <c r="D65" s="54"/>
      <c r="E65" s="54"/>
      <c r="F65" s="7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649999999999999" customHeight="1" x14ac:dyDescent="0.35">
      <c r="A66" s="54"/>
      <c r="B66" s="57"/>
      <c r="C66" s="54"/>
      <c r="D66" s="54"/>
      <c r="E66" s="54"/>
      <c r="F66" s="7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649999999999999" customHeight="1" x14ac:dyDescent="0.35">
      <c r="A67" s="54"/>
      <c r="B67" s="54"/>
      <c r="C67" s="54"/>
      <c r="D67" s="54"/>
      <c r="E67" s="63"/>
      <c r="F67" s="55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649999999999999" customHeight="1" x14ac:dyDescent="0.35">
      <c r="A68" s="54"/>
      <c r="B68" s="54"/>
      <c r="C68" s="54"/>
      <c r="D68" s="54"/>
      <c r="E68" s="63"/>
      <c r="F68" s="55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649999999999999" customHeight="1" x14ac:dyDescent="0.35">
      <c r="A69" s="54"/>
      <c r="B69" s="54"/>
      <c r="C69" s="54"/>
      <c r="D69" s="54"/>
      <c r="E69" s="63"/>
      <c r="F69" s="55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649999999999999" customHeight="1" x14ac:dyDescent="0.35">
      <c r="A70" s="54"/>
      <c r="B70" s="54"/>
      <c r="C70" s="54"/>
      <c r="D70" s="54"/>
      <c r="E70" s="63"/>
      <c r="F70" s="55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649999999999999" customHeight="1" x14ac:dyDescent="0.35">
      <c r="A71" s="54"/>
      <c r="B71" s="54"/>
      <c r="C71" s="54"/>
      <c r="D71" s="54"/>
      <c r="E71" s="63"/>
      <c r="F71" s="55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35">
      <c r="A72" s="54"/>
      <c r="B72" s="54"/>
      <c r="C72" s="54"/>
      <c r="D72" s="54"/>
      <c r="E72" s="63"/>
      <c r="F72" s="55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35">
      <c r="A73" s="54"/>
      <c r="B73" s="54"/>
      <c r="C73" s="54"/>
      <c r="D73" s="54"/>
      <c r="E73" s="63"/>
      <c r="F73" s="55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35">
      <c r="A74" s="54"/>
      <c r="B74" s="54"/>
      <c r="C74" s="54"/>
      <c r="D74" s="54"/>
      <c r="E74" s="63"/>
      <c r="F74" s="55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35">
      <c r="A75" s="54"/>
      <c r="B75" s="54"/>
      <c r="C75" s="54"/>
      <c r="D75" s="54"/>
      <c r="E75" s="63"/>
      <c r="F75" s="55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35">
      <c r="A76" s="54"/>
      <c r="B76" s="54"/>
      <c r="C76" s="54"/>
      <c r="D76" s="54"/>
      <c r="E76" s="63"/>
      <c r="F76" s="55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35">
      <c r="A77" s="54"/>
      <c r="B77" s="54"/>
      <c r="C77" s="54"/>
      <c r="D77" s="54"/>
      <c r="E77" s="63"/>
      <c r="F77" s="55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35">
      <c r="A78" s="54"/>
      <c r="B78" s="54"/>
      <c r="C78" s="54"/>
      <c r="D78" s="54"/>
      <c r="E78" s="63"/>
      <c r="F78" s="55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35">
      <c r="A79" s="54"/>
      <c r="B79" s="54"/>
      <c r="C79" s="54"/>
      <c r="D79" s="54"/>
      <c r="E79" s="63"/>
      <c r="F79" s="55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35">
      <c r="A80" s="54"/>
      <c r="B80" s="54"/>
      <c r="C80" s="54"/>
      <c r="D80" s="54"/>
      <c r="E80" s="63"/>
      <c r="F80" s="55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35">
      <c r="A81" s="54"/>
      <c r="B81" s="54"/>
      <c r="C81" s="54"/>
      <c r="D81" s="54"/>
      <c r="E81" s="63"/>
      <c r="F81" s="55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35">
      <c r="A82" s="54"/>
      <c r="B82" s="54"/>
      <c r="C82" s="54"/>
      <c r="D82" s="2"/>
      <c r="E82" s="54"/>
      <c r="F82" s="55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35">
      <c r="A83" s="54"/>
      <c r="B83" s="54"/>
      <c r="C83" s="54"/>
      <c r="D83" s="74"/>
      <c r="E83" s="54"/>
      <c r="F83" s="55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35">
      <c r="A84" s="54"/>
      <c r="B84" s="54"/>
      <c r="C84" s="54"/>
      <c r="D84" s="54"/>
      <c r="E84" s="54"/>
      <c r="F84" s="55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35">
      <c r="A85" s="54"/>
      <c r="B85" s="54"/>
      <c r="C85" s="54"/>
      <c r="D85" s="2"/>
      <c r="E85" s="54"/>
      <c r="F85" s="55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35">
      <c r="A86" s="54"/>
      <c r="B86" s="54"/>
      <c r="C86" s="54"/>
      <c r="D86" s="54"/>
      <c r="E86" s="54"/>
      <c r="F86" s="55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35">
      <c r="A87" s="2"/>
      <c r="B87" s="54"/>
      <c r="C87" s="54"/>
      <c r="D87" s="54"/>
      <c r="E87" s="54"/>
      <c r="F87" s="55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35">
      <c r="A88" s="2"/>
      <c r="B88" s="54"/>
      <c r="C88" s="54"/>
      <c r="D88" s="54"/>
      <c r="E88" s="54"/>
      <c r="F88" s="55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35">
      <c r="A92" s="5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</sheetData>
  <conditionalFormatting sqref="F2:F88">
    <cfRule type="cellIs" dxfId="2" priority="1" stopIfTrue="1" operator="lessThan">
      <formula>0</formula>
    </cfRule>
  </conditionalFormatting>
  <hyperlinks>
    <hyperlink ref="B2" r:id="rId1" xr:uid="{00000000-0004-0000-0100-000000000000}"/>
    <hyperlink ref="C2" r:id="rId2" xr:uid="{00000000-0004-0000-0100-000001000000}"/>
    <hyperlink ref="B3" r:id="rId3" display="AliExpress" xr:uid="{00000000-0004-0000-0100-000002000000}"/>
    <hyperlink ref="C3" r:id="rId4" xr:uid="{00000000-0004-0000-0100-000003000000}"/>
    <hyperlink ref="B4" r:id="rId5" display="AliExpress" xr:uid="{00000000-0004-0000-0100-000004000000}"/>
    <hyperlink ref="C4" r:id="rId6" xr:uid="{00000000-0004-0000-0100-000005000000}"/>
    <hyperlink ref="B5" r:id="rId7" display="AliExpress" xr:uid="{00000000-0004-0000-0100-000006000000}"/>
    <hyperlink ref="C5" r:id="rId8" xr:uid="{00000000-0004-0000-0100-000007000000}"/>
    <hyperlink ref="B6" r:id="rId9" display="AliExpress" xr:uid="{00000000-0004-0000-0100-000008000000}"/>
    <hyperlink ref="C6" r:id="rId10" xr:uid="{00000000-0004-0000-0100-000009000000}"/>
  </hyperlinks>
  <pageMargins left="0.78749999999999998" right="0.78749999999999998" top="1.05278" bottom="1.05278" header="0" footer="0"/>
  <pageSetup orientation="portrait"/>
  <headerFooter>
    <oddHeader>&amp;C&amp;"Arial,Regular"&amp;11&amp;K000000ffffffAliExpress</oddHeader>
    <oddFooter>&amp;C&amp;"Arial,Regular"&amp;11&amp;K000000ffffffPage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3"/>
  <sheetViews>
    <sheetView showGridLines="0" tabSelected="1" topLeftCell="A41" workbookViewId="0">
      <selection activeCell="I60" sqref="I60"/>
    </sheetView>
  </sheetViews>
  <sheetFormatPr defaultColWidth="12.6640625" defaultRowHeight="15" customHeight="1" x14ac:dyDescent="0.3"/>
  <cols>
    <col min="1" max="1" width="60.83203125" style="1" customWidth="1"/>
    <col min="2" max="2" width="16.33203125" style="1" customWidth="1"/>
    <col min="3" max="3" width="23.1640625" style="1" customWidth="1"/>
    <col min="4" max="4" width="17.83203125" style="1" customWidth="1"/>
    <col min="5" max="5" width="10.5" style="1" customWidth="1"/>
    <col min="6" max="6" width="15.1640625" style="1" customWidth="1"/>
    <col min="7" max="27" width="10.5" style="1" customWidth="1"/>
    <col min="28" max="28" width="12.6640625" style="1" customWidth="1"/>
    <col min="29" max="16384" width="12.6640625" style="1"/>
  </cols>
  <sheetData>
    <row r="1" spans="1:27" ht="13.5" customHeight="1" x14ac:dyDescent="0.35">
      <c r="A1" s="50" t="s">
        <v>15</v>
      </c>
      <c r="B1" s="51" t="s">
        <v>7</v>
      </c>
      <c r="C1" s="51" t="s">
        <v>16</v>
      </c>
      <c r="D1" s="52" t="s">
        <v>17</v>
      </c>
      <c r="E1" s="52" t="s">
        <v>18</v>
      </c>
      <c r="F1" s="52" t="s">
        <v>19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6.649999999999999" customHeight="1" x14ac:dyDescent="0.35">
      <c r="A2" s="52" t="s">
        <v>33</v>
      </c>
      <c r="B2" s="75" t="s">
        <v>34</v>
      </c>
      <c r="C2" s="75" t="s">
        <v>35</v>
      </c>
      <c r="D2" s="54">
        <v>1.7186999999999999</v>
      </c>
      <c r="E2" s="54">
        <v>1</v>
      </c>
      <c r="F2" s="55">
        <f t="shared" ref="F2:F75" si="0">D2*E2</f>
        <v>1.7186999999999999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6.649999999999999" customHeight="1" x14ac:dyDescent="0.35">
      <c r="A3" s="52" t="s">
        <v>36</v>
      </c>
      <c r="B3" s="76" t="str">
        <f t="shared" ref="B3:B15" si="1">B2</f>
        <v>LCSC</v>
      </c>
      <c r="C3" s="75" t="s">
        <v>37</v>
      </c>
      <c r="D3" s="54">
        <v>5.8999999999999997E-2</v>
      </c>
      <c r="E3" s="54">
        <v>10</v>
      </c>
      <c r="F3" s="55">
        <f t="shared" si="0"/>
        <v>0.59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6.649999999999999" customHeight="1" x14ac:dyDescent="0.35">
      <c r="A4" s="52" t="s">
        <v>38</v>
      </c>
      <c r="B4" s="76" t="str">
        <f t="shared" si="1"/>
        <v>LCSC</v>
      </c>
      <c r="C4" s="75" t="s">
        <v>39</v>
      </c>
      <c r="D4" s="54">
        <v>2.0451000000000001</v>
      </c>
      <c r="E4" s="54">
        <v>2</v>
      </c>
      <c r="F4" s="55">
        <f t="shared" si="0"/>
        <v>4.0902000000000003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6.649999999999999" customHeight="1" x14ac:dyDescent="0.35">
      <c r="A5" s="52" t="s">
        <v>40</v>
      </c>
      <c r="B5" s="76" t="str">
        <f t="shared" si="1"/>
        <v>LCSC</v>
      </c>
      <c r="C5" s="75" t="s">
        <v>41</v>
      </c>
      <c r="D5" s="54">
        <v>0.77439999999999998</v>
      </c>
      <c r="E5" s="54">
        <v>2</v>
      </c>
      <c r="F5" s="55">
        <f t="shared" si="0"/>
        <v>1.5488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6.649999999999999" customHeight="1" x14ac:dyDescent="0.35">
      <c r="A6" s="52" t="s">
        <v>42</v>
      </c>
      <c r="B6" s="76" t="str">
        <f t="shared" si="1"/>
        <v>LCSC</v>
      </c>
      <c r="C6" s="77" t="s">
        <v>43</v>
      </c>
      <c r="D6" s="54">
        <v>3.15E-2</v>
      </c>
      <c r="E6" s="54">
        <v>10</v>
      </c>
      <c r="F6" s="55">
        <f t="shared" si="0"/>
        <v>0.315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6.649999999999999" customHeight="1" x14ac:dyDescent="0.35">
      <c r="A7" s="52" t="s">
        <v>44</v>
      </c>
      <c r="B7" s="76" t="str">
        <f t="shared" si="1"/>
        <v>LCSC</v>
      </c>
      <c r="C7" s="75" t="s">
        <v>45</v>
      </c>
      <c r="D7" s="54">
        <v>3.15E-2</v>
      </c>
      <c r="E7" s="54">
        <v>10</v>
      </c>
      <c r="F7" s="55">
        <f t="shared" si="0"/>
        <v>0.315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6.649999999999999" customHeight="1" x14ac:dyDescent="0.35">
      <c r="A8" s="52" t="s">
        <v>46</v>
      </c>
      <c r="B8" s="76" t="str">
        <f t="shared" si="1"/>
        <v>LCSC</v>
      </c>
      <c r="C8" s="75" t="s">
        <v>47</v>
      </c>
      <c r="D8" s="54">
        <v>8.2000000000000003E-2</v>
      </c>
      <c r="E8" s="54">
        <v>10</v>
      </c>
      <c r="F8" s="55">
        <f t="shared" si="0"/>
        <v>0.82000000000000006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6.649999999999999" customHeight="1" x14ac:dyDescent="0.35">
      <c r="A9" s="52" t="s">
        <v>48</v>
      </c>
      <c r="B9" s="76" t="str">
        <f t="shared" si="1"/>
        <v>LCSC</v>
      </c>
      <c r="C9" s="75" t="s">
        <v>49</v>
      </c>
      <c r="D9" s="54">
        <v>0.10580000000000001</v>
      </c>
      <c r="E9" s="54">
        <v>5</v>
      </c>
      <c r="F9" s="55">
        <f t="shared" si="0"/>
        <v>0.52900000000000003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6.649999999999999" customHeight="1" x14ac:dyDescent="0.35">
      <c r="A10" s="52" t="s">
        <v>50</v>
      </c>
      <c r="B10" s="76" t="str">
        <f t="shared" si="1"/>
        <v>LCSC</v>
      </c>
      <c r="C10" s="75" t="s">
        <v>51</v>
      </c>
      <c r="D10" s="54">
        <v>1.9300000000000001E-2</v>
      </c>
      <c r="E10" s="54">
        <v>20</v>
      </c>
      <c r="F10" s="55">
        <f t="shared" si="0"/>
        <v>0.38600000000000001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6.649999999999999" customHeight="1" x14ac:dyDescent="0.35">
      <c r="A11" s="52" t="s">
        <v>52</v>
      </c>
      <c r="B11" s="76" t="str">
        <f t="shared" si="1"/>
        <v>LCSC</v>
      </c>
      <c r="C11" s="75" t="s">
        <v>53</v>
      </c>
      <c r="D11" s="54">
        <v>6.7500000000000004E-2</v>
      </c>
      <c r="E11" s="54">
        <v>5</v>
      </c>
      <c r="F11" s="55">
        <f t="shared" si="0"/>
        <v>0.33750000000000002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6.649999999999999" customHeight="1" x14ac:dyDescent="0.35">
      <c r="A12" s="52" t="s">
        <v>54</v>
      </c>
      <c r="B12" s="76" t="str">
        <f t="shared" si="1"/>
        <v>LCSC</v>
      </c>
      <c r="C12" s="75" t="s">
        <v>55</v>
      </c>
      <c r="D12" s="54">
        <v>4.0000000000000001E-3</v>
      </c>
      <c r="E12" s="54">
        <v>50</v>
      </c>
      <c r="F12" s="55">
        <f t="shared" si="0"/>
        <v>0.2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6.649999999999999" customHeight="1" x14ac:dyDescent="0.35">
      <c r="A13" s="52" t="s">
        <v>56</v>
      </c>
      <c r="B13" s="76" t="str">
        <f t="shared" si="1"/>
        <v>LCSC</v>
      </c>
      <c r="C13" s="75" t="s">
        <v>57</v>
      </c>
      <c r="D13" s="54">
        <v>3.9300000000000002E-2</v>
      </c>
      <c r="E13" s="54">
        <v>10</v>
      </c>
      <c r="F13" s="55">
        <f t="shared" si="0"/>
        <v>0.39300000000000002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6.649999999999999" customHeight="1" x14ac:dyDescent="0.35">
      <c r="A14" s="52" t="s">
        <v>58</v>
      </c>
      <c r="B14" s="76" t="str">
        <f t="shared" si="1"/>
        <v>LCSC</v>
      </c>
      <c r="C14" s="75" t="s">
        <v>59</v>
      </c>
      <c r="D14" s="54">
        <v>2.8299999999999999E-2</v>
      </c>
      <c r="E14" s="54">
        <v>20</v>
      </c>
      <c r="F14" s="55">
        <f t="shared" si="0"/>
        <v>0.56599999999999995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6.649999999999999" customHeight="1" x14ac:dyDescent="0.35">
      <c r="A15" s="52" t="s">
        <v>60</v>
      </c>
      <c r="B15" s="76" t="str">
        <f t="shared" si="1"/>
        <v>LCSC</v>
      </c>
      <c r="C15" s="75" t="s">
        <v>61</v>
      </c>
      <c r="D15" s="54">
        <v>4.7899999999999998E-2</v>
      </c>
      <c r="E15" s="54">
        <v>10</v>
      </c>
      <c r="F15" s="55">
        <f t="shared" si="0"/>
        <v>0.47899999999999998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6.649999999999999" customHeight="1" x14ac:dyDescent="0.35">
      <c r="A16" s="52" t="s">
        <v>62</v>
      </c>
      <c r="B16" s="76" t="str">
        <f>B14</f>
        <v>LCSC</v>
      </c>
      <c r="C16" s="75" t="s">
        <v>63</v>
      </c>
      <c r="D16" s="54">
        <v>7.9100000000000004E-2</v>
      </c>
      <c r="E16" s="54">
        <v>5</v>
      </c>
      <c r="F16" s="55">
        <f t="shared" si="0"/>
        <v>0.39550000000000002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6.649999999999999" customHeight="1" x14ac:dyDescent="0.35">
      <c r="A17" s="52" t="s">
        <v>64</v>
      </c>
      <c r="B17" s="76" t="str">
        <f>B14</f>
        <v>LCSC</v>
      </c>
      <c r="C17" s="77" t="s">
        <v>65</v>
      </c>
      <c r="D17" s="54">
        <v>4.7999999999999996E-3</v>
      </c>
      <c r="E17" s="54">
        <v>10</v>
      </c>
      <c r="F17" s="55">
        <f t="shared" si="0"/>
        <v>4.7999999999999994E-2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6.649999999999999" customHeight="1" x14ac:dyDescent="0.35">
      <c r="A18" s="52" t="s">
        <v>66</v>
      </c>
      <c r="B18" s="76" t="str">
        <f>B17</f>
        <v>LCSC</v>
      </c>
      <c r="C18" s="77" t="s">
        <v>67</v>
      </c>
      <c r="D18" s="54">
        <v>1.9E-3</v>
      </c>
      <c r="E18" s="54">
        <v>100</v>
      </c>
      <c r="F18" s="55">
        <f t="shared" si="0"/>
        <v>0.19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6.649999999999999" customHeight="1" x14ac:dyDescent="0.35">
      <c r="A19" s="52" t="s">
        <v>68</v>
      </c>
      <c r="B19" s="76" t="str">
        <f>B17</f>
        <v>LCSC</v>
      </c>
      <c r="C19" s="77" t="s">
        <v>69</v>
      </c>
      <c r="D19" s="54">
        <v>1.1900000000000001E-2</v>
      </c>
      <c r="E19" s="54">
        <v>10</v>
      </c>
      <c r="F19" s="55">
        <f t="shared" si="0"/>
        <v>0.11900000000000001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6.649999999999999" customHeight="1" x14ac:dyDescent="0.35">
      <c r="A20" s="52" t="s">
        <v>70</v>
      </c>
      <c r="B20" s="76" t="str">
        <f>B18</f>
        <v>LCSC</v>
      </c>
      <c r="C20" s="77" t="s">
        <v>71</v>
      </c>
      <c r="D20" s="54">
        <v>3.0999999999999999E-3</v>
      </c>
      <c r="E20" s="54">
        <v>50</v>
      </c>
      <c r="F20" s="55">
        <f t="shared" si="0"/>
        <v>0.155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6.649999999999999" customHeight="1" x14ac:dyDescent="0.35">
      <c r="A21" s="52" t="s">
        <v>72</v>
      </c>
      <c r="B21" s="76" t="str">
        <f>B19</f>
        <v>LCSC</v>
      </c>
      <c r="C21" s="77" t="s">
        <v>73</v>
      </c>
      <c r="D21" s="54">
        <v>4.3E-3</v>
      </c>
      <c r="E21" s="54">
        <v>50</v>
      </c>
      <c r="F21" s="55">
        <f t="shared" si="0"/>
        <v>0.215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6.649999999999999" customHeight="1" x14ac:dyDescent="0.35">
      <c r="A22" s="52" t="s">
        <v>74</v>
      </c>
      <c r="B22" s="76" t="str">
        <f>B20</f>
        <v>LCSC</v>
      </c>
      <c r="C22" s="77" t="s">
        <v>75</v>
      </c>
      <c r="D22" s="54">
        <v>9.2999999999999992E-3</v>
      </c>
      <c r="E22" s="54">
        <v>20</v>
      </c>
      <c r="F22" s="55">
        <f t="shared" si="0"/>
        <v>0.186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6.649999999999999" customHeight="1" x14ac:dyDescent="0.35">
      <c r="A23" s="52" t="s">
        <v>76</v>
      </c>
      <c r="B23" s="76" t="str">
        <f>B21</f>
        <v>LCSC</v>
      </c>
      <c r="C23" s="77" t="s">
        <v>77</v>
      </c>
      <c r="D23" s="54">
        <v>2.7000000000000001E-3</v>
      </c>
      <c r="E23" s="54">
        <v>50</v>
      </c>
      <c r="F23" s="55">
        <f t="shared" si="0"/>
        <v>0.13500000000000001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6.649999999999999" customHeight="1" x14ac:dyDescent="0.35">
      <c r="A24" s="52" t="s">
        <v>78</v>
      </c>
      <c r="B24" s="76" t="str">
        <f>B21</f>
        <v>LCSC</v>
      </c>
      <c r="C24" s="77" t="s">
        <v>79</v>
      </c>
      <c r="D24" s="54">
        <v>2.5999999999999999E-3</v>
      </c>
      <c r="E24" s="54">
        <v>100</v>
      </c>
      <c r="F24" s="55">
        <f t="shared" si="0"/>
        <v>0.26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6.649999999999999" customHeight="1" x14ac:dyDescent="0.35">
      <c r="A25" s="52" t="s">
        <v>80</v>
      </c>
      <c r="B25" s="76" t="str">
        <f>B21</f>
        <v>LCSC</v>
      </c>
      <c r="C25" s="77" t="s">
        <v>81</v>
      </c>
      <c r="D25" s="54">
        <v>2.7000000000000001E-3</v>
      </c>
      <c r="E25" s="54">
        <v>100</v>
      </c>
      <c r="F25" s="55">
        <f t="shared" si="0"/>
        <v>0.27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6.649999999999999" customHeight="1" x14ac:dyDescent="0.35">
      <c r="A26" s="52" t="s">
        <v>82</v>
      </c>
      <c r="B26" s="76" t="str">
        <f>B22</f>
        <v>LCSC</v>
      </c>
      <c r="C26" s="77" t="s">
        <v>83</v>
      </c>
      <c r="D26" s="54">
        <v>2.3E-3</v>
      </c>
      <c r="E26" s="54">
        <v>100</v>
      </c>
      <c r="F26" s="55">
        <f t="shared" si="0"/>
        <v>0.22999999999999998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6.649999999999999" customHeight="1" x14ac:dyDescent="0.35">
      <c r="A27" s="52" t="s">
        <v>84</v>
      </c>
      <c r="B27" s="76" t="str">
        <f>B24</f>
        <v>LCSC</v>
      </c>
      <c r="C27" s="77" t="s">
        <v>85</v>
      </c>
      <c r="D27" s="54">
        <v>2.3E-3</v>
      </c>
      <c r="E27" s="54">
        <v>100</v>
      </c>
      <c r="F27" s="55">
        <f t="shared" si="0"/>
        <v>0.22999999999999998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6.649999999999999" customHeight="1" x14ac:dyDescent="0.35">
      <c r="A28" s="91" t="s">
        <v>86</v>
      </c>
      <c r="B28" s="76" t="str">
        <f>B25</f>
        <v>LCSC</v>
      </c>
      <c r="C28" s="77" t="s">
        <v>87</v>
      </c>
      <c r="D28" s="54">
        <v>3.5999999999999999E-3</v>
      </c>
      <c r="E28" s="54">
        <v>100</v>
      </c>
      <c r="F28" s="55">
        <f t="shared" si="0"/>
        <v>0.36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6.649999999999999" customHeight="1" x14ac:dyDescent="0.35">
      <c r="A29" s="52" t="s">
        <v>88</v>
      </c>
      <c r="B29" s="76" t="str">
        <f>B22</f>
        <v>LCSC</v>
      </c>
      <c r="C29" s="77" t="s">
        <v>89</v>
      </c>
      <c r="D29" s="54">
        <v>0.1507</v>
      </c>
      <c r="E29" s="54">
        <v>5</v>
      </c>
      <c r="F29" s="55">
        <f t="shared" si="0"/>
        <v>0.75350000000000006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6.649999999999999" customHeight="1" x14ac:dyDescent="0.35">
      <c r="A30" s="52" t="s">
        <v>90</v>
      </c>
      <c r="B30" s="76" t="str">
        <f>B25</f>
        <v>LCSC</v>
      </c>
      <c r="C30" s="77" t="s">
        <v>91</v>
      </c>
      <c r="D30" s="54">
        <v>8.0000000000000004E-4</v>
      </c>
      <c r="E30" s="54">
        <v>100</v>
      </c>
      <c r="F30" s="55">
        <f t="shared" si="0"/>
        <v>0.08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6.649999999999999" customHeight="1" x14ac:dyDescent="0.35">
      <c r="A31" s="52" t="s">
        <v>92</v>
      </c>
      <c r="B31" s="76" t="str">
        <f>B25</f>
        <v>LCSC</v>
      </c>
      <c r="C31" s="77" t="s">
        <v>93</v>
      </c>
      <c r="D31" s="54">
        <v>6.9999999999999999E-4</v>
      </c>
      <c r="E31" s="54">
        <v>100</v>
      </c>
      <c r="F31" s="55">
        <f t="shared" si="0"/>
        <v>6.9999999999999993E-2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6.649999999999999" customHeight="1" x14ac:dyDescent="0.35">
      <c r="A32" s="91" t="s">
        <v>94</v>
      </c>
      <c r="B32" s="76" t="str">
        <f>B22</f>
        <v>LCSC</v>
      </c>
      <c r="C32" s="77" t="s">
        <v>95</v>
      </c>
      <c r="D32" s="54">
        <v>8.0000000000000004E-4</v>
      </c>
      <c r="E32" s="54">
        <v>100</v>
      </c>
      <c r="F32" s="55">
        <f t="shared" si="0"/>
        <v>0.08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6.649999999999999" customHeight="1" x14ac:dyDescent="0.35">
      <c r="A33" s="52" t="s">
        <v>96</v>
      </c>
      <c r="B33" s="76" t="str">
        <f>B25</f>
        <v>LCSC</v>
      </c>
      <c r="C33" s="77" t="s">
        <v>97</v>
      </c>
      <c r="D33" s="54">
        <v>8.9999999999999998E-4</v>
      </c>
      <c r="E33" s="54">
        <v>100</v>
      </c>
      <c r="F33" s="55">
        <f t="shared" si="0"/>
        <v>0.09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6.649999999999999" customHeight="1" x14ac:dyDescent="0.35">
      <c r="A34" s="52" t="s">
        <v>98</v>
      </c>
      <c r="B34" s="76" t="str">
        <f>B32</f>
        <v>LCSC</v>
      </c>
      <c r="C34" s="77" t="s">
        <v>99</v>
      </c>
      <c r="D34" s="54">
        <v>6.9999999999999999E-4</v>
      </c>
      <c r="E34" s="54">
        <v>100</v>
      </c>
      <c r="F34" s="55">
        <f t="shared" si="0"/>
        <v>6.9999999999999993E-2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6.649999999999999" customHeight="1" x14ac:dyDescent="0.35">
      <c r="A35" s="52" t="s">
        <v>100</v>
      </c>
      <c r="B35" s="76" t="str">
        <f>B33</f>
        <v>LCSC</v>
      </c>
      <c r="C35" s="77" t="s">
        <v>101</v>
      </c>
      <c r="D35" s="54">
        <v>8.0000000000000004E-4</v>
      </c>
      <c r="E35" s="54">
        <v>100</v>
      </c>
      <c r="F35" s="55">
        <f t="shared" si="0"/>
        <v>0.08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6.649999999999999" customHeight="1" x14ac:dyDescent="0.35">
      <c r="A36" s="52" t="s">
        <v>102</v>
      </c>
      <c r="B36" s="76" t="str">
        <f>B33</f>
        <v>LCSC</v>
      </c>
      <c r="C36" s="77" t="s">
        <v>103</v>
      </c>
      <c r="D36" s="54">
        <v>1.3326</v>
      </c>
      <c r="E36" s="54">
        <v>1</v>
      </c>
      <c r="F36" s="55">
        <f t="shared" si="0"/>
        <v>1.3326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6.649999999999999" customHeight="1" x14ac:dyDescent="0.35">
      <c r="A37" s="52" t="s">
        <v>128</v>
      </c>
      <c r="B37" s="76" t="str">
        <f>B34</f>
        <v>LCSC</v>
      </c>
      <c r="C37" s="89" t="s">
        <v>129</v>
      </c>
      <c r="D37" s="54">
        <v>0.1051</v>
      </c>
      <c r="E37" s="54">
        <v>5</v>
      </c>
      <c r="F37" s="55">
        <f t="shared" si="0"/>
        <v>0.52549999999999997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6.649999999999999" customHeight="1" x14ac:dyDescent="0.35">
      <c r="A38" s="52" t="s">
        <v>104</v>
      </c>
      <c r="B38" s="76" t="str">
        <f>B36</f>
        <v>LCSC</v>
      </c>
      <c r="C38" s="77" t="s">
        <v>105</v>
      </c>
      <c r="D38" s="54">
        <v>1.0200000000000001E-2</v>
      </c>
      <c r="E38" s="54">
        <v>50</v>
      </c>
      <c r="F38" s="55">
        <f t="shared" si="0"/>
        <v>0.51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6.649999999999999" customHeight="1" x14ac:dyDescent="0.35">
      <c r="A39" s="52" t="s">
        <v>106</v>
      </c>
      <c r="B39" s="76" t="str">
        <f>B38</f>
        <v>LCSC</v>
      </c>
      <c r="C39" s="77" t="s">
        <v>107</v>
      </c>
      <c r="D39" s="54">
        <v>8.0000000000000002E-3</v>
      </c>
      <c r="E39" s="54">
        <v>50</v>
      </c>
      <c r="F39" s="55">
        <f t="shared" si="0"/>
        <v>0.4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6.649999999999999" customHeight="1" x14ac:dyDescent="0.35">
      <c r="A40" s="52" t="s">
        <v>108</v>
      </c>
      <c r="B40" s="76" t="str">
        <f>B39</f>
        <v>LCSC</v>
      </c>
      <c r="C40" s="77" t="s">
        <v>109</v>
      </c>
      <c r="D40" s="54">
        <v>1.2800000000000001E-2</v>
      </c>
      <c r="E40" s="54">
        <v>20</v>
      </c>
      <c r="F40" s="55">
        <f t="shared" si="0"/>
        <v>0.25600000000000001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6.649999999999999" customHeight="1" x14ac:dyDescent="0.35">
      <c r="A41" s="52" t="s">
        <v>110</v>
      </c>
      <c r="B41" s="76" t="str">
        <f>B40</f>
        <v>LCSC</v>
      </c>
      <c r="C41" s="77" t="s">
        <v>111</v>
      </c>
      <c r="D41" s="54">
        <v>6.0000000000000001E-3</v>
      </c>
      <c r="E41" s="54">
        <v>100</v>
      </c>
      <c r="F41" s="55">
        <f t="shared" si="0"/>
        <v>0.6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6.649999999999999" customHeight="1" x14ac:dyDescent="0.35">
      <c r="A42" s="52" t="s">
        <v>112</v>
      </c>
      <c r="B42" s="76" t="str">
        <f>B40</f>
        <v>LCSC</v>
      </c>
      <c r="C42" s="77" t="s">
        <v>113</v>
      </c>
      <c r="D42" s="54">
        <v>0.1037</v>
      </c>
      <c r="E42" s="54">
        <v>5</v>
      </c>
      <c r="F42" s="55">
        <f t="shared" si="0"/>
        <v>0.51849999999999996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6.649999999999999" customHeight="1" x14ac:dyDescent="0.35">
      <c r="A43" s="52" t="s">
        <v>114</v>
      </c>
      <c r="B43" s="76" t="str">
        <f t="shared" ref="B43:B75" si="2">B42</f>
        <v>LCSC</v>
      </c>
      <c r="C43" s="77" t="s">
        <v>115</v>
      </c>
      <c r="D43" s="54">
        <v>5.1000000000000004E-3</v>
      </c>
      <c r="E43" s="54">
        <v>100</v>
      </c>
      <c r="F43" s="55">
        <f t="shared" si="0"/>
        <v>0.51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6.649999999999999" customHeight="1" x14ac:dyDescent="0.35">
      <c r="A44" s="52" t="s">
        <v>116</v>
      </c>
      <c r="B44" s="76" t="str">
        <f t="shared" si="2"/>
        <v>LCSC</v>
      </c>
      <c r="C44" s="77" t="s">
        <v>117</v>
      </c>
      <c r="D44" s="54">
        <v>4.8999999999999998E-3</v>
      </c>
      <c r="E44" s="54">
        <v>100</v>
      </c>
      <c r="F44" s="55">
        <f t="shared" si="0"/>
        <v>0.49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6.649999999999999" customHeight="1" x14ac:dyDescent="0.35">
      <c r="A45" s="52" t="s">
        <v>130</v>
      </c>
      <c r="B45" s="76" t="str">
        <f t="shared" si="2"/>
        <v>LCSC</v>
      </c>
      <c r="C45" s="90" t="s">
        <v>131</v>
      </c>
      <c r="D45" s="54">
        <v>0.86670000000000003</v>
      </c>
      <c r="E45" s="54">
        <v>1</v>
      </c>
      <c r="F45" s="55">
        <f t="shared" si="0"/>
        <v>0.86670000000000003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6.649999999999999" customHeight="1" x14ac:dyDescent="0.35">
      <c r="A46" s="52" t="s">
        <v>133</v>
      </c>
      <c r="B46" s="76" t="str">
        <f t="shared" si="2"/>
        <v>LCSC</v>
      </c>
      <c r="C46" s="90" t="s">
        <v>132</v>
      </c>
      <c r="D46" s="54">
        <v>0.1583</v>
      </c>
      <c r="E46" s="54">
        <v>5</v>
      </c>
      <c r="F46" s="55">
        <f t="shared" si="0"/>
        <v>0.79149999999999998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6.649999999999999" customHeight="1" x14ac:dyDescent="0.35">
      <c r="A47" s="52" t="s">
        <v>134</v>
      </c>
      <c r="B47" s="76" t="str">
        <f t="shared" si="2"/>
        <v>LCSC</v>
      </c>
      <c r="C47" s="90" t="s">
        <v>135</v>
      </c>
      <c r="D47" s="54">
        <v>0.16189999999999999</v>
      </c>
      <c r="E47" s="54">
        <v>5</v>
      </c>
      <c r="F47" s="55">
        <f t="shared" si="0"/>
        <v>0.80949999999999989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6.649999999999999" customHeight="1" x14ac:dyDescent="0.35">
      <c r="A48" s="52" t="s">
        <v>136</v>
      </c>
      <c r="B48" s="76" t="str">
        <f t="shared" si="2"/>
        <v>LCSC</v>
      </c>
      <c r="C48" s="90" t="s">
        <v>137</v>
      </c>
      <c r="D48" s="54">
        <v>2.5899999999999999E-2</v>
      </c>
      <c r="E48" s="54">
        <v>20</v>
      </c>
      <c r="F48" s="55">
        <f t="shared" si="0"/>
        <v>0.51800000000000002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6.649999999999999" customHeight="1" x14ac:dyDescent="0.35">
      <c r="A49" s="52" t="s">
        <v>138</v>
      </c>
      <c r="B49" s="76" t="str">
        <f t="shared" si="2"/>
        <v>LCSC</v>
      </c>
      <c r="C49" s="90" t="s">
        <v>139</v>
      </c>
      <c r="D49" s="54">
        <v>0.1517</v>
      </c>
      <c r="E49" s="54">
        <v>5</v>
      </c>
      <c r="F49" s="55">
        <f t="shared" si="0"/>
        <v>0.75849999999999995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6.649999999999999" customHeight="1" x14ac:dyDescent="0.35">
      <c r="A50" s="52" t="s">
        <v>140</v>
      </c>
      <c r="B50" s="76" t="str">
        <f t="shared" si="2"/>
        <v>LCSC</v>
      </c>
      <c r="C50" s="90" t="s">
        <v>141</v>
      </c>
      <c r="D50" s="54">
        <v>0.16400000000000001</v>
      </c>
      <c r="E50" s="54">
        <v>5</v>
      </c>
      <c r="F50" s="55">
        <f t="shared" si="0"/>
        <v>0.82000000000000006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6.649999999999999" customHeight="1" x14ac:dyDescent="0.35">
      <c r="A51" s="52" t="s">
        <v>142</v>
      </c>
      <c r="B51" s="76" t="str">
        <f t="shared" si="2"/>
        <v>LCSC</v>
      </c>
      <c r="C51" s="90" t="s">
        <v>143</v>
      </c>
      <c r="D51" s="54">
        <v>4.7500000000000001E-2</v>
      </c>
      <c r="E51" s="54">
        <v>10</v>
      </c>
      <c r="F51" s="55">
        <f t="shared" si="0"/>
        <v>0.47499999999999998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6.649999999999999" customHeight="1" x14ac:dyDescent="0.35">
      <c r="A52" s="52" t="s">
        <v>144</v>
      </c>
      <c r="B52" s="76" t="str">
        <f t="shared" si="2"/>
        <v>LCSC</v>
      </c>
      <c r="C52" s="90" t="s">
        <v>145</v>
      </c>
      <c r="D52" s="54">
        <v>4.7399999999999998E-2</v>
      </c>
      <c r="E52" s="54">
        <v>10</v>
      </c>
      <c r="F52" s="55">
        <f t="shared" si="0"/>
        <v>0.47399999999999998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6.649999999999999" customHeight="1" x14ac:dyDescent="0.35">
      <c r="A53" s="52" t="s">
        <v>146</v>
      </c>
      <c r="B53" s="76" t="str">
        <f t="shared" si="2"/>
        <v>LCSC</v>
      </c>
      <c r="C53" s="90" t="s">
        <v>147</v>
      </c>
      <c r="D53" s="54">
        <v>4.5199999999999997E-2</v>
      </c>
      <c r="E53" s="54">
        <v>5</v>
      </c>
      <c r="F53" s="55">
        <f t="shared" si="0"/>
        <v>0.22599999999999998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6.649999999999999" customHeight="1" x14ac:dyDescent="0.35">
      <c r="A54" s="91" t="s">
        <v>149</v>
      </c>
      <c r="B54" s="76" t="str">
        <f t="shared" si="2"/>
        <v>LCSC</v>
      </c>
      <c r="C54" s="90" t="s">
        <v>148</v>
      </c>
      <c r="D54" s="54">
        <v>7.9100000000000004E-2</v>
      </c>
      <c r="E54" s="54">
        <v>5</v>
      </c>
      <c r="F54" s="55">
        <f t="shared" si="0"/>
        <v>0.39550000000000002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6.649999999999999" customHeight="1" x14ac:dyDescent="0.35">
      <c r="A55" s="91" t="s">
        <v>150</v>
      </c>
      <c r="B55" s="76" t="str">
        <f t="shared" si="2"/>
        <v>LCSC</v>
      </c>
      <c r="C55" s="90" t="s">
        <v>151</v>
      </c>
      <c r="D55" s="54">
        <v>0.33660000000000001</v>
      </c>
      <c r="E55" s="54">
        <v>5</v>
      </c>
      <c r="F55" s="55">
        <f t="shared" si="0"/>
        <v>1.6830000000000001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6.649999999999999" customHeight="1" x14ac:dyDescent="0.35">
      <c r="A56" s="91" t="s">
        <v>152</v>
      </c>
      <c r="B56" s="76" t="str">
        <f t="shared" si="2"/>
        <v>LCSC</v>
      </c>
      <c r="C56" s="90" t="s">
        <v>153</v>
      </c>
      <c r="D56" s="54">
        <v>3.9100000000000003E-2</v>
      </c>
      <c r="E56" s="54">
        <v>10</v>
      </c>
      <c r="F56" s="55">
        <f t="shared" si="0"/>
        <v>0.39100000000000001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6.649999999999999" customHeight="1" x14ac:dyDescent="0.35">
      <c r="A57" s="91" t="s">
        <v>154</v>
      </c>
      <c r="B57" s="76" t="str">
        <f t="shared" si="2"/>
        <v>LCSC</v>
      </c>
      <c r="C57" s="90" t="s">
        <v>155</v>
      </c>
      <c r="D57" s="54">
        <v>5.8299999999999998E-2</v>
      </c>
      <c r="E57" s="54">
        <v>10</v>
      </c>
      <c r="F57" s="55">
        <f t="shared" si="0"/>
        <v>0.58299999999999996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6.649999999999999" customHeight="1" x14ac:dyDescent="0.35">
      <c r="A58" s="91" t="s">
        <v>156</v>
      </c>
      <c r="B58" s="76" t="str">
        <f t="shared" si="2"/>
        <v>LCSC</v>
      </c>
      <c r="C58" s="90" t="s">
        <v>157</v>
      </c>
      <c r="D58" s="54">
        <v>4.1734999999999998</v>
      </c>
      <c r="E58" s="54">
        <v>1</v>
      </c>
      <c r="F58" s="55">
        <f t="shared" si="0"/>
        <v>4.1734999999999998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6.649999999999999" customHeight="1" x14ac:dyDescent="0.35">
      <c r="A59" s="91" t="s">
        <v>158</v>
      </c>
      <c r="B59" s="76" t="str">
        <f t="shared" si="2"/>
        <v>LCSC</v>
      </c>
      <c r="C59" s="90" t="s">
        <v>159</v>
      </c>
      <c r="D59" s="54">
        <v>1.9841</v>
      </c>
      <c r="E59" s="54">
        <v>1</v>
      </c>
      <c r="F59" s="55">
        <f t="shared" si="0"/>
        <v>1.9841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6.649999999999999" customHeight="1" x14ac:dyDescent="0.35">
      <c r="A60" s="91" t="s">
        <v>160</v>
      </c>
      <c r="B60" s="76" t="str">
        <f t="shared" si="2"/>
        <v>LCSC</v>
      </c>
      <c r="C60" s="90" t="s">
        <v>161</v>
      </c>
      <c r="D60" s="54">
        <v>9.3482000000000003</v>
      </c>
      <c r="E60" s="54">
        <v>1</v>
      </c>
      <c r="F60" s="55">
        <f t="shared" si="0"/>
        <v>9.3482000000000003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6.649999999999999" customHeight="1" x14ac:dyDescent="0.35">
      <c r="A61" s="91" t="s">
        <v>162</v>
      </c>
      <c r="B61" s="76" t="str">
        <f t="shared" si="2"/>
        <v>LCSC</v>
      </c>
      <c r="C61" s="90" t="s">
        <v>163</v>
      </c>
      <c r="D61" s="54">
        <v>1.8200000000000001E-2</v>
      </c>
      <c r="E61" s="54">
        <v>20</v>
      </c>
      <c r="F61" s="55">
        <f t="shared" si="0"/>
        <v>0.36399999999999999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6.649999999999999" customHeight="1" x14ac:dyDescent="0.35">
      <c r="A62" s="91" t="s">
        <v>164</v>
      </c>
      <c r="B62" s="76" t="str">
        <f t="shared" si="2"/>
        <v>LCSC</v>
      </c>
      <c r="C62" s="90" t="s">
        <v>165</v>
      </c>
      <c r="D62" s="54">
        <v>3.2000000000000002E-3</v>
      </c>
      <c r="E62" s="54">
        <v>100</v>
      </c>
      <c r="F62" s="55">
        <f t="shared" si="0"/>
        <v>0.32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6.649999999999999" customHeight="1" x14ac:dyDescent="0.35">
      <c r="A63" s="91" t="s">
        <v>166</v>
      </c>
      <c r="B63" s="76" t="str">
        <f t="shared" si="2"/>
        <v>LCSC</v>
      </c>
      <c r="C63" s="90" t="s">
        <v>167</v>
      </c>
      <c r="D63" s="54">
        <v>2.3199999999999998E-2</v>
      </c>
      <c r="E63" s="54">
        <v>20</v>
      </c>
      <c r="F63" s="55">
        <f t="shared" si="0"/>
        <v>0.46399999999999997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6.649999999999999" customHeight="1" x14ac:dyDescent="0.35">
      <c r="A64" s="91" t="s">
        <v>168</v>
      </c>
      <c r="B64" s="76" t="str">
        <f t="shared" si="2"/>
        <v>LCSC</v>
      </c>
      <c r="C64" s="90" t="s">
        <v>169</v>
      </c>
      <c r="D64" s="54">
        <v>8.0500000000000002E-2</v>
      </c>
      <c r="E64" s="54">
        <v>5</v>
      </c>
      <c r="F64" s="55">
        <f t="shared" si="0"/>
        <v>0.40250000000000002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6.649999999999999" customHeight="1" x14ac:dyDescent="0.35">
      <c r="A65" s="91" t="s">
        <v>170</v>
      </c>
      <c r="B65" s="76" t="str">
        <f t="shared" si="2"/>
        <v>LCSC</v>
      </c>
      <c r="C65" s="90" t="s">
        <v>171</v>
      </c>
      <c r="D65" s="54">
        <v>1.2999999999999999E-3</v>
      </c>
      <c r="E65" s="54">
        <v>100</v>
      </c>
      <c r="F65" s="55">
        <f t="shared" si="0"/>
        <v>0.13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6.649999999999999" customHeight="1" x14ac:dyDescent="0.35">
      <c r="A66" s="91" t="s">
        <v>172</v>
      </c>
      <c r="B66" s="76" t="str">
        <f t="shared" si="2"/>
        <v>LCSC</v>
      </c>
      <c r="C66" s="90" t="s">
        <v>173</v>
      </c>
      <c r="D66" s="54">
        <v>1.1999999999999999E-3</v>
      </c>
      <c r="E66" s="54">
        <v>100</v>
      </c>
      <c r="F66" s="55">
        <f t="shared" si="0"/>
        <v>0.12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6.649999999999999" customHeight="1" x14ac:dyDescent="0.35">
      <c r="A67" s="91" t="s">
        <v>174</v>
      </c>
      <c r="B67" s="76" t="str">
        <f t="shared" si="2"/>
        <v>LCSC</v>
      </c>
      <c r="C67" s="90" t="s">
        <v>175</v>
      </c>
      <c r="D67" s="54">
        <v>1.1000000000000001E-3</v>
      </c>
      <c r="E67" s="54">
        <v>100</v>
      </c>
      <c r="F67" s="55">
        <f t="shared" si="0"/>
        <v>0.11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6.649999999999999" customHeight="1" x14ac:dyDescent="0.35">
      <c r="A68" s="91" t="s">
        <v>176</v>
      </c>
      <c r="B68" s="76" t="str">
        <f t="shared" si="2"/>
        <v>LCSC</v>
      </c>
      <c r="C68" s="90" t="s">
        <v>177</v>
      </c>
      <c r="D68" s="54">
        <v>1E-3</v>
      </c>
      <c r="E68" s="54">
        <v>100</v>
      </c>
      <c r="F68" s="55">
        <f t="shared" si="0"/>
        <v>0.1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6.649999999999999" customHeight="1" x14ac:dyDescent="0.35">
      <c r="A69" s="91" t="s">
        <v>178</v>
      </c>
      <c r="B69" s="76" t="str">
        <f t="shared" si="2"/>
        <v>LCSC</v>
      </c>
      <c r="C69" s="90" t="s">
        <v>179</v>
      </c>
      <c r="D69" s="54">
        <v>1E-3</v>
      </c>
      <c r="E69" s="54">
        <v>100</v>
      </c>
      <c r="F69" s="55">
        <f t="shared" si="0"/>
        <v>0.1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6.649999999999999" customHeight="1" x14ac:dyDescent="0.35">
      <c r="A70" s="91" t="s">
        <v>180</v>
      </c>
      <c r="B70" s="76" t="str">
        <f t="shared" si="2"/>
        <v>LCSC</v>
      </c>
      <c r="C70" s="90" t="s">
        <v>181</v>
      </c>
      <c r="D70" s="54">
        <v>1E-3</v>
      </c>
      <c r="E70" s="54">
        <v>100</v>
      </c>
      <c r="F70" s="55">
        <f t="shared" si="0"/>
        <v>0.1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6.649999999999999" customHeight="1" x14ac:dyDescent="0.35">
      <c r="A71" s="91" t="s">
        <v>182</v>
      </c>
      <c r="B71" s="76" t="str">
        <f t="shared" si="2"/>
        <v>LCSC</v>
      </c>
      <c r="C71" s="90" t="s">
        <v>183</v>
      </c>
      <c r="D71" s="54">
        <v>1.2999999999999999E-3</v>
      </c>
      <c r="E71" s="54">
        <v>100</v>
      </c>
      <c r="F71" s="55">
        <f t="shared" si="0"/>
        <v>0.13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6.649999999999999" customHeight="1" x14ac:dyDescent="0.35">
      <c r="A72" s="52" t="s">
        <v>118</v>
      </c>
      <c r="B72" s="76" t="str">
        <f>B44</f>
        <v>LCSC</v>
      </c>
      <c r="C72" s="78" t="s">
        <v>119</v>
      </c>
      <c r="D72" s="54">
        <v>1.66</v>
      </c>
      <c r="E72" s="54">
        <v>2</v>
      </c>
      <c r="F72" s="55">
        <f t="shared" si="0"/>
        <v>3.32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6.649999999999999" customHeight="1" x14ac:dyDescent="0.35">
      <c r="A73" s="52" t="s">
        <v>120</v>
      </c>
      <c r="B73" s="76" t="str">
        <f t="shared" si="2"/>
        <v>LCSC</v>
      </c>
      <c r="C73" s="79" t="s">
        <v>121</v>
      </c>
      <c r="D73" s="54">
        <v>0.35</v>
      </c>
      <c r="E73" s="54">
        <v>2</v>
      </c>
      <c r="F73" s="55">
        <f t="shared" si="0"/>
        <v>0.7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6.649999999999999" customHeight="1" x14ac:dyDescent="0.35">
      <c r="A74" s="52" t="s">
        <v>122</v>
      </c>
      <c r="B74" s="76" t="str">
        <f t="shared" si="2"/>
        <v>LCSC</v>
      </c>
      <c r="C74" s="79" t="s">
        <v>123</v>
      </c>
      <c r="D74" s="54">
        <v>4.05</v>
      </c>
      <c r="E74" s="54">
        <v>1</v>
      </c>
      <c r="F74" s="55">
        <f t="shared" si="0"/>
        <v>4.05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6.649999999999999" customHeight="1" x14ac:dyDescent="0.35">
      <c r="A75" s="52" t="s">
        <v>124</v>
      </c>
      <c r="B75" s="76" t="str">
        <f t="shared" si="2"/>
        <v>LCSC</v>
      </c>
      <c r="C75" s="79" t="s">
        <v>125</v>
      </c>
      <c r="D75" s="54">
        <v>2.85</v>
      </c>
      <c r="E75" s="54">
        <v>1</v>
      </c>
      <c r="F75" s="55">
        <f t="shared" si="0"/>
        <v>2.85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6.649999999999999" customHeight="1" x14ac:dyDescent="0.35">
      <c r="A76" s="52"/>
      <c r="B76" s="76"/>
      <c r="C76" s="80"/>
      <c r="D76" s="54"/>
      <c r="E76" s="54"/>
      <c r="F76" s="55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6.649999999999999" customHeight="1" x14ac:dyDescent="0.35">
      <c r="A77" s="54"/>
      <c r="B77" s="81"/>
      <c r="C77" s="2"/>
      <c r="D77" s="54"/>
      <c r="E77" s="54"/>
      <c r="F77" s="55">
        <f>D77*E77</f>
        <v>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x14ac:dyDescent="0.35">
      <c r="A78" s="52" t="s">
        <v>31</v>
      </c>
      <c r="B78" s="2"/>
      <c r="C78" s="2"/>
      <c r="D78" s="54"/>
      <c r="E78" s="54"/>
      <c r="F78" s="58">
        <f>D78*E78</f>
        <v>0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x14ac:dyDescent="0.35">
      <c r="A79" s="54"/>
      <c r="B79" s="54"/>
      <c r="C79" s="54"/>
      <c r="D79" s="54"/>
      <c r="E79" s="59" t="s">
        <v>32</v>
      </c>
      <c r="F79" s="60">
        <f>SUM(F2:F77)</f>
        <v>59.005800000000001</v>
      </c>
      <c r="G79" s="6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x14ac:dyDescent="0.3">
      <c r="A80" s="2"/>
      <c r="B80" s="2"/>
      <c r="C80" s="2"/>
      <c r="D80" s="2"/>
      <c r="E80" s="2"/>
      <c r="F80" s="7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x14ac:dyDescent="0.35">
      <c r="A83" s="5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</sheetData>
  <conditionalFormatting sqref="F2:F79">
    <cfRule type="cellIs" dxfId="1" priority="1" stopIfTrue="1" operator="lessThan">
      <formula>0</formula>
    </cfRule>
  </conditionalFormatting>
  <hyperlinks>
    <hyperlink ref="B2" r:id="rId1" xr:uid="{00000000-0004-0000-0200-000000000000}"/>
    <hyperlink ref="C2" r:id="rId2" xr:uid="{00000000-0004-0000-0200-000001000000}"/>
    <hyperlink ref="B3" r:id="rId3" display="LCSC" xr:uid="{00000000-0004-0000-0200-000002000000}"/>
    <hyperlink ref="C3" r:id="rId4" xr:uid="{00000000-0004-0000-0200-000003000000}"/>
    <hyperlink ref="B4" r:id="rId5" display="LCSC" xr:uid="{00000000-0004-0000-0200-000004000000}"/>
    <hyperlink ref="C4" r:id="rId6" xr:uid="{00000000-0004-0000-0200-000005000000}"/>
    <hyperlink ref="B5" r:id="rId7" display="LCSC" xr:uid="{00000000-0004-0000-0200-000006000000}"/>
    <hyperlink ref="C5" r:id="rId8" xr:uid="{00000000-0004-0000-0200-000007000000}"/>
    <hyperlink ref="B6" r:id="rId9" display="LCSC" xr:uid="{00000000-0004-0000-0200-000008000000}"/>
    <hyperlink ref="C6" r:id="rId10" xr:uid="{00000000-0004-0000-0200-000009000000}"/>
    <hyperlink ref="B7" r:id="rId11" display="LCSC" xr:uid="{00000000-0004-0000-0200-00000A000000}"/>
    <hyperlink ref="C7" r:id="rId12" xr:uid="{00000000-0004-0000-0200-00000B000000}"/>
    <hyperlink ref="B8" r:id="rId13" display="LCSC" xr:uid="{00000000-0004-0000-0200-00000C000000}"/>
    <hyperlink ref="C8" r:id="rId14" xr:uid="{00000000-0004-0000-0200-00000D000000}"/>
    <hyperlink ref="B9" r:id="rId15" display="LCSC" xr:uid="{00000000-0004-0000-0200-00000E000000}"/>
    <hyperlink ref="C9" r:id="rId16" xr:uid="{00000000-0004-0000-0200-00000F000000}"/>
    <hyperlink ref="B10" r:id="rId17" display="LCSC" xr:uid="{00000000-0004-0000-0200-000010000000}"/>
    <hyperlink ref="C10" r:id="rId18" xr:uid="{00000000-0004-0000-0200-000011000000}"/>
    <hyperlink ref="B11" r:id="rId19" display="LCSC" xr:uid="{00000000-0004-0000-0200-000012000000}"/>
    <hyperlink ref="C11" r:id="rId20" xr:uid="{00000000-0004-0000-0200-000013000000}"/>
    <hyperlink ref="B12" r:id="rId21" display="LCSC" xr:uid="{00000000-0004-0000-0200-000014000000}"/>
    <hyperlink ref="C12" r:id="rId22" xr:uid="{00000000-0004-0000-0200-000015000000}"/>
    <hyperlink ref="B13" r:id="rId23" display="LCSC" xr:uid="{00000000-0004-0000-0200-000016000000}"/>
    <hyperlink ref="C13" r:id="rId24" xr:uid="{00000000-0004-0000-0200-000017000000}"/>
    <hyperlink ref="B14" r:id="rId25" display="LCSC" xr:uid="{00000000-0004-0000-0200-000018000000}"/>
    <hyperlink ref="C14" r:id="rId26" xr:uid="{00000000-0004-0000-0200-000019000000}"/>
    <hyperlink ref="B15" r:id="rId27" display="LCSC" xr:uid="{00000000-0004-0000-0200-00001A000000}"/>
    <hyperlink ref="C15" r:id="rId28" xr:uid="{00000000-0004-0000-0200-00001B000000}"/>
    <hyperlink ref="B16" r:id="rId29" display="LCSC" xr:uid="{00000000-0004-0000-0200-00001C000000}"/>
    <hyperlink ref="C16" r:id="rId30" xr:uid="{00000000-0004-0000-0200-00001D000000}"/>
    <hyperlink ref="B17" r:id="rId31" display="LCSC" xr:uid="{00000000-0004-0000-0200-00001E000000}"/>
    <hyperlink ref="C17" r:id="rId32" xr:uid="{00000000-0004-0000-0200-00001F000000}"/>
    <hyperlink ref="B18" r:id="rId33" display="LCSC" xr:uid="{00000000-0004-0000-0200-000020000000}"/>
    <hyperlink ref="C18" r:id="rId34" xr:uid="{00000000-0004-0000-0200-000021000000}"/>
    <hyperlink ref="B19" r:id="rId35" display="LCSC" xr:uid="{00000000-0004-0000-0200-000022000000}"/>
    <hyperlink ref="C19" r:id="rId36" xr:uid="{00000000-0004-0000-0200-000023000000}"/>
    <hyperlink ref="B20" r:id="rId37" display="LCSC" xr:uid="{00000000-0004-0000-0200-000024000000}"/>
    <hyperlink ref="C20" r:id="rId38" xr:uid="{00000000-0004-0000-0200-000025000000}"/>
    <hyperlink ref="B21" r:id="rId39" display="LCSC" xr:uid="{00000000-0004-0000-0200-000026000000}"/>
    <hyperlink ref="C21" r:id="rId40" xr:uid="{00000000-0004-0000-0200-000027000000}"/>
    <hyperlink ref="B22" r:id="rId41" display="LCSC" xr:uid="{00000000-0004-0000-0200-000028000000}"/>
    <hyperlink ref="C22" r:id="rId42" xr:uid="{00000000-0004-0000-0200-000029000000}"/>
    <hyperlink ref="B23" r:id="rId43" display="LCSC" xr:uid="{00000000-0004-0000-0200-00002A000000}"/>
    <hyperlink ref="C23" r:id="rId44" xr:uid="{00000000-0004-0000-0200-00002B000000}"/>
    <hyperlink ref="B24" r:id="rId45" display="LCSC" xr:uid="{00000000-0004-0000-0200-00002C000000}"/>
    <hyperlink ref="C24" r:id="rId46" xr:uid="{00000000-0004-0000-0200-00002D000000}"/>
    <hyperlink ref="B25" r:id="rId47" display="LCSC" xr:uid="{00000000-0004-0000-0200-00002E000000}"/>
    <hyperlink ref="C25" r:id="rId48" xr:uid="{00000000-0004-0000-0200-00002F000000}"/>
    <hyperlink ref="B26" r:id="rId49" display="LCSC" xr:uid="{00000000-0004-0000-0200-000030000000}"/>
    <hyperlink ref="C26" r:id="rId50" xr:uid="{00000000-0004-0000-0200-000031000000}"/>
    <hyperlink ref="B27" r:id="rId51" display="LCSC" xr:uid="{00000000-0004-0000-0200-000032000000}"/>
    <hyperlink ref="C27" r:id="rId52" xr:uid="{00000000-0004-0000-0200-000033000000}"/>
    <hyperlink ref="B28" r:id="rId53" display="LCSC" xr:uid="{00000000-0004-0000-0200-000034000000}"/>
    <hyperlink ref="C28" r:id="rId54" xr:uid="{00000000-0004-0000-0200-000035000000}"/>
    <hyperlink ref="B29" r:id="rId55" display="LCSC" xr:uid="{00000000-0004-0000-0200-000036000000}"/>
    <hyperlink ref="C29" r:id="rId56" xr:uid="{00000000-0004-0000-0200-000037000000}"/>
    <hyperlink ref="B30" r:id="rId57" display="LCSC" xr:uid="{00000000-0004-0000-0200-000038000000}"/>
    <hyperlink ref="C30" r:id="rId58" xr:uid="{00000000-0004-0000-0200-000039000000}"/>
    <hyperlink ref="B31" r:id="rId59" display="LCSC" xr:uid="{00000000-0004-0000-0200-00003A000000}"/>
    <hyperlink ref="C31" r:id="rId60" xr:uid="{00000000-0004-0000-0200-00003B000000}"/>
    <hyperlink ref="B32" r:id="rId61" display="LCSC" xr:uid="{00000000-0004-0000-0200-00003C000000}"/>
    <hyperlink ref="C32" r:id="rId62" xr:uid="{00000000-0004-0000-0200-00003D000000}"/>
    <hyperlink ref="B33" r:id="rId63" display="LCSC" xr:uid="{00000000-0004-0000-0200-00003E000000}"/>
    <hyperlink ref="C33" r:id="rId64" xr:uid="{00000000-0004-0000-0200-00003F000000}"/>
    <hyperlink ref="B34" r:id="rId65" display="LCSC" xr:uid="{00000000-0004-0000-0200-000040000000}"/>
    <hyperlink ref="C34" r:id="rId66" xr:uid="{00000000-0004-0000-0200-000041000000}"/>
    <hyperlink ref="B35" r:id="rId67" display="LCSC" xr:uid="{00000000-0004-0000-0200-000042000000}"/>
    <hyperlink ref="C35" r:id="rId68" xr:uid="{00000000-0004-0000-0200-000043000000}"/>
    <hyperlink ref="B36" r:id="rId69" display="LCSC" xr:uid="{00000000-0004-0000-0200-000044000000}"/>
    <hyperlink ref="C36" r:id="rId70" xr:uid="{00000000-0004-0000-0200-000045000000}"/>
    <hyperlink ref="B38" r:id="rId71" display="LCSC" xr:uid="{00000000-0004-0000-0200-000046000000}"/>
    <hyperlink ref="C38" r:id="rId72" xr:uid="{00000000-0004-0000-0200-000047000000}"/>
    <hyperlink ref="B39" r:id="rId73" display="LCSC" xr:uid="{00000000-0004-0000-0200-000048000000}"/>
    <hyperlink ref="C39" r:id="rId74" xr:uid="{00000000-0004-0000-0200-000049000000}"/>
    <hyperlink ref="B40" r:id="rId75" display="LCSC" xr:uid="{00000000-0004-0000-0200-00004A000000}"/>
    <hyperlink ref="C40" r:id="rId76" xr:uid="{00000000-0004-0000-0200-00004B000000}"/>
    <hyperlink ref="B41" r:id="rId77" display="LCSC" xr:uid="{00000000-0004-0000-0200-00004C000000}"/>
    <hyperlink ref="C41" r:id="rId78" xr:uid="{00000000-0004-0000-0200-00004D000000}"/>
    <hyperlink ref="B42" r:id="rId79" display="LCSC" xr:uid="{00000000-0004-0000-0200-00004E000000}"/>
    <hyperlink ref="C42" r:id="rId80" xr:uid="{00000000-0004-0000-0200-00004F000000}"/>
    <hyperlink ref="B43" r:id="rId81" display="LCSC" xr:uid="{00000000-0004-0000-0200-000050000000}"/>
    <hyperlink ref="C43" r:id="rId82" xr:uid="{00000000-0004-0000-0200-000051000000}"/>
    <hyperlink ref="B44" r:id="rId83" display="LCSC" xr:uid="{00000000-0004-0000-0200-000052000000}"/>
    <hyperlink ref="C44" r:id="rId84" xr:uid="{00000000-0004-0000-0200-000053000000}"/>
    <hyperlink ref="B72" r:id="rId85" display="LCSC" xr:uid="{00000000-0004-0000-0200-000054000000}"/>
    <hyperlink ref="C72" r:id="rId86" xr:uid="{00000000-0004-0000-0200-000055000000}"/>
    <hyperlink ref="B73" r:id="rId87" display="LCSC" xr:uid="{00000000-0004-0000-0200-000056000000}"/>
    <hyperlink ref="C73" r:id="rId88" xr:uid="{00000000-0004-0000-0200-000057000000}"/>
    <hyperlink ref="B74" r:id="rId89" display="LCSC" xr:uid="{00000000-0004-0000-0200-000058000000}"/>
    <hyperlink ref="C74" r:id="rId90" xr:uid="{00000000-0004-0000-0200-000059000000}"/>
    <hyperlink ref="B75" r:id="rId91" display="LCSC" xr:uid="{00000000-0004-0000-0200-00005A000000}"/>
    <hyperlink ref="C75" r:id="rId92" xr:uid="{00000000-0004-0000-0200-00005B000000}"/>
    <hyperlink ref="B37" r:id="rId93" display="LCSC" xr:uid="{FDCE48B4-76CE-479A-BCB1-D96EA027C33E}"/>
    <hyperlink ref="C37" r:id="rId94" xr:uid="{69F2C250-36BB-478A-B535-12DF11BE9CFC}"/>
    <hyperlink ref="C45" r:id="rId95" xr:uid="{DCE91028-C982-4E03-82FC-07C411301113}"/>
    <hyperlink ref="C46" r:id="rId96" xr:uid="{910E031D-8C47-4D56-9205-2112D3B4850B}"/>
    <hyperlink ref="C47" r:id="rId97" xr:uid="{80EC77CD-DEB4-4A71-9569-CA341FEEEE3B}"/>
    <hyperlink ref="C48" r:id="rId98" xr:uid="{735A60FF-5B07-4878-86B5-194582AB92BA}"/>
    <hyperlink ref="C49" r:id="rId99" xr:uid="{00B2FDB3-F4BE-4064-843C-788D63FE38D9}"/>
    <hyperlink ref="C50" r:id="rId100" xr:uid="{A75A71ED-B470-409C-BF71-D947C37544EC}"/>
    <hyperlink ref="C51" r:id="rId101" xr:uid="{DFE851BA-9B69-4BFE-BF4C-4815B7B3B955}"/>
    <hyperlink ref="C52" r:id="rId102" xr:uid="{D773146F-DC27-47E1-9C46-6BFDDA872F9C}"/>
    <hyperlink ref="C53" r:id="rId103" xr:uid="{C747B304-6571-4DC9-8E4B-617CD4ACFE9D}"/>
    <hyperlink ref="C54" r:id="rId104" xr:uid="{5AEA0230-8F5D-4F1F-8753-3823128AC151}"/>
    <hyperlink ref="C55" r:id="rId105" xr:uid="{4C331ED6-5174-472B-8265-05EFC64A2BD9}"/>
    <hyperlink ref="C56" r:id="rId106" xr:uid="{3DCFCD64-A0A9-48EC-92F4-1B14F7C090D8}"/>
    <hyperlink ref="C57" r:id="rId107" xr:uid="{58242788-B2CF-4A48-BA5F-819B999B502E}"/>
    <hyperlink ref="C58" r:id="rId108" xr:uid="{5131B17B-C037-45A5-9D5D-9FDE64FCEA85}"/>
    <hyperlink ref="C59" r:id="rId109" xr:uid="{46ED099A-F20A-47C4-B258-314BE6EC645F}"/>
    <hyperlink ref="C60" r:id="rId110" xr:uid="{A38ADB9A-71FB-411D-B887-6DE3117B5B2B}"/>
    <hyperlink ref="C61" r:id="rId111" xr:uid="{17A9C55B-9AED-4A95-8F1D-0FB0735D9FB4}"/>
    <hyperlink ref="C62" r:id="rId112" xr:uid="{05949042-1C24-43E3-B1E4-4AFFA72C9B9B}"/>
    <hyperlink ref="C63" r:id="rId113" xr:uid="{E4D97C05-BE17-453A-9344-4B772C4F2957}"/>
    <hyperlink ref="C64" r:id="rId114" xr:uid="{AD8BEA4B-0CF5-4561-A583-2E8DB59D5D0C}"/>
    <hyperlink ref="C65" r:id="rId115" xr:uid="{52944B22-E724-416C-9347-251ADBBF74F4}"/>
    <hyperlink ref="C66" r:id="rId116" xr:uid="{201FA2A4-5C0F-4BB3-BD7A-956E30867189}"/>
    <hyperlink ref="C67" r:id="rId117" xr:uid="{31764B53-C7B5-405A-8F18-3DFEE23A37F7}"/>
    <hyperlink ref="C68" r:id="rId118" xr:uid="{3BB52F7D-76BB-4D0F-8175-EB4D8CC09EB4}"/>
    <hyperlink ref="C69" r:id="rId119" xr:uid="{7BDE54B1-F9C7-408F-81EE-64FDCBEC531D}"/>
    <hyperlink ref="C70" r:id="rId120" xr:uid="{976C5487-A464-4FF9-89D4-614E08E44481}"/>
    <hyperlink ref="C71" r:id="rId121" xr:uid="{B9E14636-80F1-4412-B522-DF29BD9EEA45}"/>
    <hyperlink ref="B45:B71" r:id="rId122" display="LCSC" xr:uid="{032DC6F9-D322-42E0-8342-785F3297CAE4}"/>
  </hyperlinks>
  <pageMargins left="0.78749999999999998" right="0.78749999999999998" top="1.05278" bottom="1.05278" header="0" footer="0"/>
  <pageSetup orientation="portrait" r:id="rId123"/>
  <headerFooter>
    <oddHeader>&amp;C&amp;"Arial,Regular"&amp;11&amp;K000000ffffffLCSC</oddHeader>
    <oddFooter>&amp;C&amp;"Arial,Regular"&amp;11&amp;K000000ffffffPage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showGridLines="0" workbookViewId="0"/>
  </sheetViews>
  <sheetFormatPr defaultColWidth="10.5" defaultRowHeight="12.75" customHeight="1" x14ac:dyDescent="0.3"/>
  <cols>
    <col min="1" max="1" width="14.33203125" style="1" customWidth="1"/>
    <col min="2" max="2" width="13.1640625" style="1" customWidth="1"/>
    <col min="3" max="3" width="16.5" style="1" customWidth="1"/>
    <col min="4" max="4" width="18.5" style="1" customWidth="1"/>
    <col min="5" max="5" width="10.6640625" style="1" customWidth="1"/>
    <col min="6" max="6" width="15.83203125" style="1" customWidth="1"/>
    <col min="7" max="7" width="10.5" style="1" customWidth="1"/>
    <col min="8" max="16384" width="10.5" style="1"/>
  </cols>
  <sheetData>
    <row r="1" spans="1:6" ht="16.649999999999999" customHeight="1" x14ac:dyDescent="0.35">
      <c r="A1" s="50" t="s">
        <v>15</v>
      </c>
      <c r="B1" s="51" t="s">
        <v>7</v>
      </c>
      <c r="C1" s="51" t="s">
        <v>16</v>
      </c>
      <c r="D1" s="52" t="s">
        <v>17</v>
      </c>
      <c r="E1" s="52" t="s">
        <v>18</v>
      </c>
      <c r="F1" s="52" t="s">
        <v>19</v>
      </c>
    </row>
    <row r="2" spans="1:6" ht="16.649999999999999" customHeight="1" x14ac:dyDescent="0.35">
      <c r="A2" s="82" t="s">
        <v>126</v>
      </c>
      <c r="B2" s="76" t="s">
        <v>14</v>
      </c>
      <c r="C2" s="83" t="s">
        <v>127</v>
      </c>
      <c r="D2" s="54">
        <v>7.12</v>
      </c>
      <c r="E2" s="54">
        <v>1</v>
      </c>
      <c r="F2" s="55">
        <f>D2*E2</f>
        <v>7.12</v>
      </c>
    </row>
    <row r="3" spans="1:6" ht="14.65" customHeight="1" x14ac:dyDescent="0.3">
      <c r="A3" s="84"/>
      <c r="B3" s="85"/>
      <c r="C3" s="84"/>
      <c r="D3" s="85"/>
      <c r="E3" s="85"/>
      <c r="F3" s="85"/>
    </row>
    <row r="4" spans="1:6" ht="14.65" customHeight="1" x14ac:dyDescent="0.3">
      <c r="A4" s="86"/>
      <c r="B4" s="86"/>
      <c r="C4" s="86"/>
      <c r="D4" s="86"/>
      <c r="E4" s="86"/>
      <c r="F4" s="86"/>
    </row>
    <row r="5" spans="1:6" ht="16.649999999999999" customHeight="1" x14ac:dyDescent="0.35">
      <c r="A5" s="54"/>
      <c r="B5" s="81"/>
      <c r="C5" s="2"/>
      <c r="D5" s="54"/>
      <c r="E5" s="54"/>
      <c r="F5" s="55">
        <f>F2</f>
        <v>7.12</v>
      </c>
    </row>
    <row r="6" spans="1:6" ht="16.649999999999999" customHeight="1" x14ac:dyDescent="0.35">
      <c r="A6" s="52" t="s">
        <v>31</v>
      </c>
      <c r="B6" s="2"/>
      <c r="C6" s="2"/>
      <c r="D6" s="54"/>
      <c r="E6" s="54"/>
      <c r="F6" s="58">
        <v>0</v>
      </c>
    </row>
    <row r="7" spans="1:6" ht="16.649999999999999" customHeight="1" x14ac:dyDescent="0.35">
      <c r="A7" s="54"/>
      <c r="B7" s="54"/>
      <c r="C7" s="54"/>
      <c r="D7" s="54"/>
      <c r="E7" s="59" t="s">
        <v>32</v>
      </c>
      <c r="F7" s="87">
        <f>F5+F6</f>
        <v>7.12</v>
      </c>
    </row>
    <row r="8" spans="1:6" ht="14.65" customHeight="1" x14ac:dyDescent="0.3">
      <c r="A8" s="85"/>
      <c r="B8" s="85"/>
      <c r="C8" s="85"/>
      <c r="D8" s="85"/>
      <c r="E8" s="85"/>
      <c r="F8" s="88"/>
    </row>
    <row r="9" spans="1:6" ht="14.65" customHeight="1" x14ac:dyDescent="0.3">
      <c r="A9" s="84"/>
      <c r="B9" s="84"/>
      <c r="C9" s="84"/>
      <c r="D9" s="84"/>
      <c r="E9" s="84"/>
      <c r="F9" s="84"/>
    </row>
    <row r="10" spans="1:6" ht="14.65" customHeight="1" x14ac:dyDescent="0.3">
      <c r="A10" s="84"/>
      <c r="B10" s="84"/>
      <c r="C10" s="84"/>
      <c r="D10" s="84"/>
      <c r="E10" s="84"/>
      <c r="F10" s="84"/>
    </row>
  </sheetData>
  <conditionalFormatting sqref="F2 F5:F7">
    <cfRule type="cellIs" dxfId="0" priority="1" stopIfTrue="1" operator="lessThan">
      <formula>0</formula>
    </cfRule>
  </conditionalFormatting>
  <hyperlinks>
    <hyperlink ref="C2" r:id="rId1" xr:uid="{00000000-0004-0000-0300-000000000000}"/>
  </hyperlinks>
  <pageMargins left="0.78749999999999998" right="0.78749999999999998" top="1.05278" bottom="1.05278" header="0.78749999999999998" footer="0.78749999999999998"/>
  <pageSetup orientation="portrait"/>
  <headerFooter>
    <oddHeader>&amp;C&amp;"Times New Roman,Regular"&amp;12&amp;K000000Mouser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Feuil1</vt:lpstr>
      <vt:lpstr>AliExpress</vt:lpstr>
      <vt:lpstr>LCSC</vt:lpstr>
      <vt:lpstr>Mouser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Flavien Bouleau</cp:lastModifiedBy>
  <dcterms:modified xsi:type="dcterms:W3CDTF">2026-02-04T05:28:31Z</dcterms:modified>
</cp:coreProperties>
</file>